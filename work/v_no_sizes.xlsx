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报价单" sheetId="1" state="visible" r:id="rId1"/>
    <sheet xmlns:r="http://schemas.openxmlformats.org/officeDocument/2006/relationships" name="报价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color rgb="FF1F2A30"/>
      <sz val="10"/>
    </font>
    <font>
      <name val="Carlito"/>
      <b val="1"/>
      <color rgb="FFFFFFFF"/>
      <sz val="10"/>
    </font>
    <font>
      <name val="Carlito"/>
      <color rgb="FF1F2A30"/>
      <sz val="11"/>
    </font>
    <font>
      <name val="Carlito"/>
      <b val="1"/>
      <color rgb="FF1F2A30"/>
      <sz val="10"/>
    </font>
    <font>
      <name val="Carlito"/>
      <b val="1"/>
      <color rgb="FF0B3C49"/>
      <sz val="11"/>
    </font>
    <font>
      <name val="Carlito"/>
      <color rgb="FF1F2A30"/>
      <sz val="10"/>
    </font>
    <font>
      <name val="Carlito"/>
      <b val="1"/>
      <color rgb="FF0B3C49"/>
      <sz val="10"/>
    </font>
    <font>
      <name val="Carlito"/>
      <b val="1"/>
      <color rgb="FFFFFFFF"/>
      <sz val="16"/>
    </font>
  </fonts>
  <fills count="9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2F6F8"/>
      </patternFill>
    </fill>
    <fill>
      <patternFill patternType="solid">
        <fgColor rgb="FFDDEBF0"/>
      </patternFill>
    </fill>
    <fill>
      <patternFill patternType="solid">
        <fgColor rgb="FF2E6E81"/>
      </patternFill>
    </fill>
    <fill>
      <patternFill patternType="solid">
        <fgColor rgb="FFDCE8ED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17">
    <border/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</border>
    <border>
      <top style="medium">
        <color rgb="FF2E6E81"/>
      </top>
    </border>
    <border>
      <right style="medium">
        <color rgb="FF2E6E81"/>
      </right>
      <top style="medium">
        <color rgb="FF2E6E81"/>
      </top>
    </border>
    <border>
      <left style="medium">
        <color rgb="FF2E6E81"/>
      </left>
    </border>
    <border>
      <right style="medium">
        <color rgb="FF2E6E81"/>
      </right>
    </border>
    <border>
      <left style="medium">
        <color rgb="FF2E6E81"/>
      </left>
      <bottom style="medium">
        <color rgb="FF2E6E81"/>
      </bottom>
    </border>
    <border>
      <bottom style="medium">
        <color rgb="FF2E6E81"/>
      </bottom>
    </border>
    <border>
      <right style="medium">
        <color rgb="FF2E6E81"/>
      </right>
      <bottom style="medium">
        <color rgb="FF2E6E81"/>
      </bottom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  <border>
      <top style="thin">
        <color rgb="FFC9D2D9"/>
      </top>
      <bottom style="thin">
        <color rgb="FFC9D2D9"/>
      </bottom>
    </border>
    <border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  <bottom style="medium">
        <color rgb="FF2E6E81"/>
      </bottom>
    </border>
    <border>
      <right style="medium">
        <color rgb="FF2E6E81"/>
      </right>
      <top style="medium">
        <color rgb="FF2E6E81"/>
      </top>
      <bottom style="medium">
        <color rgb="FF2E6E81"/>
      </bottom>
    </border>
    <border>
      <top style="medium">
        <color rgb="FF2E6E81"/>
      </top>
      <bottom style="medium">
        <color rgb="FF2E6E81"/>
      </bottom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4" fillId="3" borderId="0" pivotButton="0" quotePrefix="0" xfId="0"/>
    <xf numFmtId="4" fontId="4" fillId="3" borderId="0" pivotButton="0" quotePrefix="0" xfId="0"/>
    <xf numFmtId="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4" fontId="6" fillId="4" borderId="0" pivotButton="0" quotePrefix="0" xfId="0"/>
    <xf numFmtId="4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 vertical="center"/>
    </xf>
    <xf numFmtId="9" fontId="6" fillId="4" borderId="0" pivotButton="0" quotePrefix="0" xfId="0"/>
    <xf numFmtId="9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0" fontId="8" fillId="7" borderId="0" pivotButton="0" quotePrefix="0" xfId="0"/>
    <xf numFmtId="4" fontId="8" fillId="7" borderId="0" pivotButton="0" quotePrefix="0" xfId="0"/>
    <xf numFmtId="4" fontId="8" fillId="7" borderId="0" applyAlignment="1" pivotButton="0" quotePrefix="0" xfId="0">
      <alignment horizontal="right"/>
    </xf>
    <xf numFmtId="4" fontId="8" fillId="7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4" fontId="5" fillId="3" borderId="0" pivotButton="0" quotePrefix="0" xfId="0"/>
    <xf numFmtId="4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4" fontId="5" fillId="4" borderId="0" pivotButton="0" quotePrefix="0" xfId="0"/>
    <xf numFmtId="4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9" fontId="0" fillId="0" borderId="0" pivotButton="0" quotePrefix="0" xfId="0"/>
    <xf numFmtId="9" fontId="0" fillId="4" borderId="0" pivotButton="0" quotePrefix="0" xfId="0"/>
    <xf numFmtId="9" fontId="6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vertical="center" wrapText="1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2" fillId="8" borderId="4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2" fillId="8" borderId="6" applyAlignment="1" pivotButton="0" quotePrefix="0" xfId="0">
      <alignment horizontal="left" vertical="center"/>
    </xf>
    <xf numFmtId="0" fontId="2" fillId="8" borderId="7" applyAlignment="1" pivotButton="0" quotePrefix="0" xfId="0">
      <alignment horizontal="left" vertical="center"/>
    </xf>
    <xf numFmtId="0" fontId="2" fillId="8" borderId="8" applyAlignment="1" pivotButton="0" quotePrefix="0" xfId="0">
      <alignment horizontal="left" vertical="center"/>
    </xf>
    <xf numFmtId="0" fontId="2" fillId="8" borderId="9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4" fontId="8" fillId="7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8" borderId="14" applyAlignment="1" pivotButton="0" quotePrefix="0" xfId="0">
      <alignment horizontal="left" vertical="center"/>
    </xf>
    <xf numFmtId="0" fontId="0" fillId="0" borderId="16" pivotButton="0" quotePrefix="0" xfId="0"/>
    <xf numFmtId="0" fontId="5" fillId="8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汇钻科技(泰国)股份有限公司（一期）车间废气处理及送新风工程
工 程 报 价 单</t>
        </is>
      </c>
    </row>
    <row r="2">
      <c r="A2" s="10" t="inlineStr">
        <is>
          <t>报价单编号：QY-2026-001    报价日期：2026年08月06日    币种：人民币（CNY）</t>
        </is>
      </c>
    </row>
    <row r="3">
      <c r="A3" s="10" t="inlineStr">
        <is>
          <t>报价单位：待填写    联系人：待填写    联系电话：待填写    电子邮箱：待填写</t>
        </is>
      </c>
    </row>
    <row r="4">
      <c r="A4" s="10" t="inlineStr">
        <is>
          <t>项目名称：汇钻科技(泰国)股份有限公司（一期）车间废气处理及送新风工程</t>
        </is>
      </c>
    </row>
    <row r="6">
      <c r="A6" s="14" t="inlineStr">
        <is>
          <t>报 价 汇 总</t>
        </is>
      </c>
    </row>
    <row r="7">
      <c r="A7" s="16" t="inlineStr">
        <is>
          <t>设备及材料小计（第一至十六项）</t>
        </is>
      </c>
      <c r="H7" s="130">
        <f>$H$37+$H$57+$H$77+$H$84+$H$91+$H$99+$H$106+$H$113+$H$120+$H$128+$H$136+$H$142+$H$148+$H$154+$H$161+$H$168</f>
        <v/>
      </c>
    </row>
    <row r="8">
      <c r="A8" s="16" t="inlineStr">
        <is>
          <t>辅材及配套费用（第十七项）</t>
        </is>
      </c>
      <c r="H8" s="130">
        <f>$H$178</f>
        <v/>
      </c>
    </row>
    <row r="9">
      <c r="A9" s="16" t="inlineStr">
        <is>
          <t>包装及运输费用（第十八项）</t>
        </is>
      </c>
      <c r="H9" s="130">
        <f>$H$186</f>
        <v/>
      </c>
    </row>
    <row r="10">
      <c r="A10" s="16" t="inlineStr">
        <is>
          <t>安装调试及技术服务费（第十九项）</t>
        </is>
      </c>
      <c r="H10" s="130">
        <f>$H$196</f>
        <v/>
      </c>
    </row>
    <row r="11">
      <c r="A11" s="76" t="inlineStr">
        <is>
          <t>未税合计</t>
        </is>
      </c>
      <c r="H11" s="131">
        <f>SUM($H$7:$H$10)</f>
        <v/>
      </c>
    </row>
    <row r="12">
      <c r="A12" s="76" t="inlineStr">
        <is>
          <t>增值税税率</t>
        </is>
      </c>
      <c r="H12" s="132" t="n">
        <v>0.13</v>
      </c>
    </row>
    <row r="13">
      <c r="A13" s="76" t="inlineStr">
        <is>
          <t>税额</t>
        </is>
      </c>
      <c r="H13" s="131">
        <f>$H$11*$H$12</f>
        <v/>
      </c>
    </row>
    <row r="14">
      <c r="A14" s="76" t="inlineStr">
        <is>
          <t>含税总价</t>
        </is>
      </c>
      <c r="H14" s="131">
        <f>$H$11+$H$13</f>
        <v/>
      </c>
    </row>
    <row r="15">
      <c r="A15" s="35" t="inlineStr">
        <is>
          <t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t>
        </is>
      </c>
    </row>
    <row r="16">
      <c r="A16" s="76" t="inlineStr">
        <is>
          <t>一、设备及材料清单（依据《汇钻泰国一期废气处理及送新风设计方案-20260717》中“一期设备及材料清单”编制，未遗漏、未改项）</t>
        </is>
      </c>
    </row>
    <row r="17">
      <c r="A17" s="41" t="inlineStr">
        <is>
          <t>序号</t>
        </is>
      </c>
      <c r="B17" s="41" t="inlineStr">
        <is>
          <t>系统/分项</t>
        </is>
      </c>
      <c r="C17" s="41" t="inlineStr">
        <is>
          <t>设备或材料名称</t>
        </is>
      </c>
      <c r="D17" s="41" t="inlineStr">
        <is>
          <t>规格型号及技术参数</t>
        </is>
      </c>
      <c r="E17" s="41" t="inlineStr">
        <is>
          <t>单位</t>
        </is>
      </c>
      <c r="F17" s="41" t="inlineStr">
        <is>
          <t>数量</t>
        </is>
      </c>
      <c r="G17" s="41" t="inlineStr">
        <is>
          <t>未税单价（元）</t>
        </is>
      </c>
      <c r="H17" s="41" t="inlineStr">
        <is>
          <t>未税金额（元）</t>
        </is>
      </c>
      <c r="I17" s="41" t="inlineStr">
        <is>
          <t>品牌或产地</t>
        </is>
      </c>
      <c r="J17" s="41" t="inlineStr">
        <is>
          <t>备注</t>
        </is>
      </c>
    </row>
    <row r="18">
      <c r="A18" s="46" t="inlineStr">
        <is>
          <t>（一）含氰废气处理 主设备（编号：(1F-3F)-含氰1）</t>
        </is>
      </c>
    </row>
    <row r="19">
      <c r="A19" s="52" t="n">
        <v>1</v>
      </c>
      <c r="B19" s="51" t="inlineStr">
        <is>
          <t>喷淋净化塔</t>
        </is>
      </c>
      <c r="C19" s="51" t="inlineStr">
        <is>
          <t>喷淋塔塔体</t>
        </is>
      </c>
      <c r="D19" s="51" t="inlineStr">
        <is>
          <t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t>
        </is>
      </c>
      <c r="E19" s="52" t="inlineStr">
        <is>
          <t>套</t>
        </is>
      </c>
      <c r="F19" s="133" t="n">
        <v>1</v>
      </c>
      <c r="G19" s="134" t="n">
        <v>72000</v>
      </c>
      <c r="H19" s="134">
        <f>F19*G19</f>
        <v/>
      </c>
      <c r="I19" s="52" t="inlineStr">
        <is>
          <t>国产（待定）</t>
        </is>
      </c>
      <c r="J19" s="51" t="str"/>
    </row>
    <row r="20">
      <c r="A20" s="52" t="n">
        <v>2</v>
      </c>
      <c r="B20" s="51" t="inlineStr">
        <is>
          <t>喷淋净化塔</t>
        </is>
      </c>
      <c r="C20" s="51" t="inlineStr">
        <is>
          <t>填料</t>
        </is>
      </c>
      <c r="D20" s="51" t="inlineStr">
        <is>
          <t>填料规格：采用PP射出成形带刺空心球填料 尺寸：φ50mm， 填料用量:84780个</t>
        </is>
      </c>
      <c r="E20" s="52" t="inlineStr">
        <is>
          <t>项</t>
        </is>
      </c>
      <c r="F20" s="133" t="n">
        <v>1</v>
      </c>
      <c r="G20" s="134" t="n">
        <v>6000</v>
      </c>
      <c r="H20" s="134">
        <f>F20*G20</f>
        <v/>
      </c>
      <c r="I20" s="52" t="inlineStr">
        <is>
          <t>国产（待定）</t>
        </is>
      </c>
      <c r="J20" s="51" t="str"/>
    </row>
    <row r="21">
      <c r="A21" s="52" t="n">
        <v>3</v>
      </c>
      <c r="B21" s="51" t="inlineStr">
        <is>
          <t>喷淋净化塔</t>
        </is>
      </c>
      <c r="C21" s="51" t="inlineStr">
        <is>
          <t>循环喷淋管道</t>
        </is>
      </c>
      <c r="D21" s="51" t="inlineStr">
        <is>
          <t>材质：UPVC，耐压1.0mpa及以上，水管、弯头、法兰、等。</t>
        </is>
      </c>
      <c r="E21" s="52" t="inlineStr">
        <is>
          <t>项</t>
        </is>
      </c>
      <c r="F21" s="133" t="n">
        <v>1</v>
      </c>
      <c r="G21" s="134" t="n">
        <v>4500</v>
      </c>
      <c r="H21" s="134">
        <f>F21*G21</f>
        <v/>
      </c>
      <c r="I21" s="52" t="inlineStr">
        <is>
          <t>国产（待定）</t>
        </is>
      </c>
      <c r="J21" s="51" t="str"/>
    </row>
    <row r="22">
      <c r="A22" s="52" t="n">
        <v>4</v>
      </c>
      <c r="B22" s="51" t="inlineStr">
        <is>
          <t>大月弯</t>
        </is>
      </c>
      <c r="C22" s="51" t="inlineStr">
        <is>
          <t>大月弯</t>
        </is>
      </c>
      <c r="D22" s="51" t="inlineStr">
        <is>
          <t>直径：1000mm</t>
        </is>
      </c>
      <c r="E22" s="52" t="inlineStr">
        <is>
          <t>个</t>
        </is>
      </c>
      <c r="F22" s="133" t="n">
        <v>1</v>
      </c>
      <c r="G22" s="134" t="n">
        <v>5200</v>
      </c>
      <c r="H22" s="134">
        <f>F22*G22</f>
        <v/>
      </c>
      <c r="I22" s="52" t="inlineStr">
        <is>
          <t>国产（待定）</t>
        </is>
      </c>
      <c r="J22" s="51" t="str"/>
    </row>
    <row r="23">
      <c r="A23" s="52" t="n">
        <v>5</v>
      </c>
      <c r="B23" s="51" t="inlineStr">
        <is>
          <t>设备连接系统</t>
        </is>
      </c>
      <c r="C23" s="51" t="inlineStr">
        <is>
          <t>φ1000mm风管及管件</t>
        </is>
      </c>
      <c r="D23" s="51" t="inlineStr">
        <is>
          <t>含弯头及风管 直径：1000mm 风管数量：4.5m 90°弯头:1个 所有风管及管件法兰连接</t>
        </is>
      </c>
      <c r="E23" s="52" t="inlineStr">
        <is>
          <t>项</t>
        </is>
      </c>
      <c r="F23" s="133" t="n">
        <v>1</v>
      </c>
      <c r="G23" s="134" t="n">
        <v>2800</v>
      </c>
      <c r="H23" s="134">
        <f>F23*G23</f>
        <v/>
      </c>
      <c r="I23" s="52" t="inlineStr">
        <is>
          <t>国产（待定）</t>
        </is>
      </c>
      <c r="J23" s="51" t="str"/>
    </row>
    <row r="24">
      <c r="A24" s="52" t="n">
        <v>6</v>
      </c>
      <c r="B24" s="51" t="inlineStr">
        <is>
          <t>排放管</t>
        </is>
      </c>
      <c r="C24" s="51" t="inlineStr">
        <is>
          <t>排放管</t>
        </is>
      </c>
      <c r="D24" s="51" t="inlineStr">
        <is>
          <t>烟囱、风帽、及避雷设施 烟囱直径：1000mm 烟囱长度：7.5m。 带取样口</t>
        </is>
      </c>
      <c r="E24" s="52" t="inlineStr">
        <is>
          <t>套</t>
        </is>
      </c>
      <c r="F24" s="133" t="n">
        <v>1</v>
      </c>
      <c r="G24" s="134" t="n">
        <v>9800</v>
      </c>
      <c r="H24" s="134">
        <f>F24*G24</f>
        <v/>
      </c>
      <c r="I24" s="52" t="inlineStr">
        <is>
          <t>国产（待定）</t>
        </is>
      </c>
      <c r="J24" s="51" t="str"/>
    </row>
    <row r="25">
      <c r="A25" s="52" t="n">
        <v>7</v>
      </c>
      <c r="B25" s="51" t="inlineStr">
        <is>
          <t>排放管</t>
        </is>
      </c>
      <c r="C25" s="51" t="inlineStr">
        <is>
          <t>防雨帽</t>
        </is>
      </c>
      <c r="D25" s="51" t="inlineStr">
        <is>
          <t>设备配套定制款</t>
        </is>
      </c>
      <c r="E25" s="52" t="inlineStr">
        <is>
          <t>个</t>
        </is>
      </c>
      <c r="F25" s="133" t="n">
        <v>1</v>
      </c>
      <c r="G25" s="134" t="n">
        <v>1500</v>
      </c>
      <c r="H25" s="134">
        <f>F25*G25</f>
        <v/>
      </c>
      <c r="I25" s="52" t="inlineStr">
        <is>
          <t>国产（待定）</t>
        </is>
      </c>
      <c r="J25" s="51" t="str"/>
    </row>
    <row r="26">
      <c r="A26" s="52" t="n">
        <v>8</v>
      </c>
      <c r="B26" s="51" t="inlineStr">
        <is>
          <t>检测平台</t>
        </is>
      </c>
      <c r="C26" s="51" t="inlineStr">
        <is>
          <t>检测平台</t>
        </is>
      </c>
      <c r="D26" s="51" t="inlineStr">
        <is>
          <t>平台固定座：铁板 平台立柱：方通 平台护栏：方通 平台地面及踏步：花纹板 平台立柱黄色防腐油漆，其他为深灰色防腐油漆</t>
        </is>
      </c>
      <c r="E26" s="52" t="inlineStr">
        <is>
          <t>套</t>
        </is>
      </c>
      <c r="F26" s="133" t="n">
        <v>1</v>
      </c>
      <c r="G26" s="134" t="n">
        <v>9800</v>
      </c>
      <c r="H26" s="134">
        <f>F26*G26</f>
        <v/>
      </c>
      <c r="I26" s="52" t="inlineStr">
        <is>
          <t>国产（待定）</t>
        </is>
      </c>
      <c r="J26" s="51" t="str"/>
    </row>
    <row r="27">
      <c r="A27" s="52" t="n">
        <v>9</v>
      </c>
      <c r="B27" s="51" t="inlineStr">
        <is>
          <t>风机</t>
        </is>
      </c>
      <c r="C27" s="51" t="inlineStr">
        <is>
          <t>风机</t>
        </is>
      </c>
      <c r="D27" s="51" t="inlineStr">
        <is>
          <t>型号：FAN-SYS-060-30KW 处理风量：30000m³/h 压力：1800pa</t>
        </is>
      </c>
      <c r="E27" s="52" t="inlineStr">
        <is>
          <t>台</t>
        </is>
      </c>
      <c r="F27" s="133" t="n">
        <v>1</v>
      </c>
      <c r="G27" s="134" t="n">
        <v>55600</v>
      </c>
      <c r="H27" s="134">
        <f>F27*G27</f>
        <v/>
      </c>
      <c r="I27" s="52" t="inlineStr">
        <is>
          <t>国产（待定）</t>
        </is>
      </c>
      <c r="J27" s="51" t="str"/>
    </row>
    <row r="28">
      <c r="A28" s="52" t="n">
        <v>10</v>
      </c>
      <c r="B28" s="51" t="inlineStr">
        <is>
          <t>循环喷淋系统</t>
        </is>
      </c>
      <c r="C28" s="51" t="inlineStr">
        <is>
          <t>喷淋循环泵</t>
        </is>
      </c>
      <c r="D28" s="51" t="inlineStr">
        <is>
          <t>功率:10HP 流量：55m³/h 扬程：28M</t>
        </is>
      </c>
      <c r="E28" s="52" t="inlineStr">
        <is>
          <t>台</t>
        </is>
      </c>
      <c r="F28" s="133" t="n">
        <v>2</v>
      </c>
      <c r="G28" s="134" t="n">
        <v>6200</v>
      </c>
      <c r="H28" s="134">
        <f>F28*G28</f>
        <v/>
      </c>
      <c r="I28" s="52" t="inlineStr">
        <is>
          <t>国产（待定）</t>
        </is>
      </c>
      <c r="J28" s="51" t="str"/>
    </row>
    <row r="29">
      <c r="A29" s="52" t="n">
        <v>11</v>
      </c>
      <c r="B29" s="51" t="inlineStr">
        <is>
          <t>自动加药系统</t>
        </is>
      </c>
      <c r="C29" s="51" t="inlineStr">
        <is>
          <t>PH/ORP计</t>
        </is>
      </c>
      <c r="D29" s="51" t="inlineStr">
        <is>
          <t>使用部位喷淋塔塔体,仪表+探头</t>
        </is>
      </c>
      <c r="E29" s="52" t="inlineStr">
        <is>
          <t>套</t>
        </is>
      </c>
      <c r="F29" s="133" t="n">
        <v>1</v>
      </c>
      <c r="G29" s="134" t="n">
        <v>6500</v>
      </c>
      <c r="H29" s="134">
        <f>F29*G29</f>
        <v/>
      </c>
      <c r="I29" s="52" t="inlineStr">
        <is>
          <t>国产（待定）</t>
        </is>
      </c>
      <c r="J29" s="51" t="str"/>
    </row>
    <row r="30">
      <c r="A30" s="52" t="n">
        <v>12</v>
      </c>
      <c r="B30" s="51" t="inlineStr">
        <is>
          <t>自动加药系统</t>
        </is>
      </c>
      <c r="C30" s="51" t="inlineStr">
        <is>
          <t>加药泵</t>
        </is>
      </c>
      <c r="D30" s="51" t="inlineStr">
        <is>
          <t>MD-40RM</t>
        </is>
      </c>
      <c r="E30" s="52" t="inlineStr">
        <is>
          <t>台</t>
        </is>
      </c>
      <c r="F30" s="133" t="n">
        <v>1</v>
      </c>
      <c r="G30" s="134" t="n">
        <v>2600</v>
      </c>
      <c r="H30" s="134">
        <f>F30*G30</f>
        <v/>
      </c>
      <c r="I30" s="52" t="inlineStr">
        <is>
          <t>国产（待定）</t>
        </is>
      </c>
      <c r="J30" s="51" t="str"/>
    </row>
    <row r="31">
      <c r="A31" s="52" t="n">
        <v>13</v>
      </c>
      <c r="B31" s="51" t="inlineStr">
        <is>
          <t>自动加药系统</t>
        </is>
      </c>
      <c r="C31" s="51" t="inlineStr">
        <is>
          <t>储药箱</t>
        </is>
      </c>
      <c r="D31" s="51" t="inlineStr">
        <is>
          <t>材质：PP阻燃，含配套输送管道系统等附件</t>
        </is>
      </c>
      <c r="E31" s="52" t="inlineStr">
        <is>
          <t>套</t>
        </is>
      </c>
      <c r="F31" s="133" t="n">
        <v>1</v>
      </c>
      <c r="G31" s="134" t="n">
        <v>4200</v>
      </c>
      <c r="H31" s="134">
        <f>F31*G31</f>
        <v/>
      </c>
      <c r="I31" s="52" t="inlineStr">
        <is>
          <t>国产（待定）</t>
        </is>
      </c>
      <c r="J31" s="51" t="str"/>
    </row>
    <row r="32">
      <c r="A32" s="52" t="n">
        <v>14</v>
      </c>
      <c r="B32" s="51" t="inlineStr">
        <is>
          <t>配电系统</t>
        </is>
      </c>
      <c r="C32" s="51" t="inlineStr">
        <is>
          <t>电控箱</t>
        </is>
      </c>
      <c r="D32" s="51" t="inlineStr">
        <is>
          <t>碳钢+烤漆</t>
        </is>
      </c>
      <c r="E32" s="52" t="inlineStr">
        <is>
          <t>套</t>
        </is>
      </c>
      <c r="F32" s="133" t="n">
        <v>1</v>
      </c>
      <c r="G32" s="134" t="n">
        <v>49000</v>
      </c>
      <c r="H32" s="134">
        <f>F32*G32</f>
        <v/>
      </c>
      <c r="I32" s="52" t="inlineStr">
        <is>
          <t>国产（待定）</t>
        </is>
      </c>
      <c r="J32" s="51" t="str"/>
    </row>
    <row r="33">
      <c r="A33" s="52" t="n">
        <v>15</v>
      </c>
      <c r="B33" s="51" t="inlineStr">
        <is>
          <t>配电系统</t>
        </is>
      </c>
      <c r="C33" s="51" t="inlineStr">
        <is>
          <t>变频器</t>
        </is>
      </c>
      <c r="D33" s="51" t="inlineStr">
        <is>
          <t>30KW</t>
        </is>
      </c>
      <c r="E33" s="52" t="inlineStr">
        <is>
          <t>台</t>
        </is>
      </c>
      <c r="F33" s="133" t="n">
        <v>1</v>
      </c>
      <c r="G33" s="134" t="n">
        <v>20000</v>
      </c>
      <c r="H33" s="134">
        <f>F33*G33</f>
        <v/>
      </c>
      <c r="I33" s="52" t="inlineStr">
        <is>
          <t>国产（待定）</t>
        </is>
      </c>
      <c r="J33" s="51" t="inlineStr">
        <is>
          <t>原清单未标注单位及数量，按成套配置计</t>
        </is>
      </c>
    </row>
    <row r="34">
      <c r="A34" s="52" t="n">
        <v>16</v>
      </c>
      <c r="B34" s="51" t="inlineStr">
        <is>
          <t>配电系统</t>
        </is>
      </c>
      <c r="C34" s="51" t="inlineStr">
        <is>
          <t>电器元件</t>
        </is>
      </c>
      <c r="D34" s="51" t="inlineStr">
        <is>
          <t>正泰</t>
        </is>
      </c>
      <c r="E34" s="52" t="inlineStr">
        <is>
          <t>项</t>
        </is>
      </c>
      <c r="F34" s="133" t="n">
        <v>1</v>
      </c>
      <c r="G34" s="134" t="n">
        <v>9000</v>
      </c>
      <c r="H34" s="134">
        <f>F34*G34</f>
        <v/>
      </c>
      <c r="I34" s="52" t="inlineStr">
        <is>
          <t>正泰（国产）</t>
        </is>
      </c>
      <c r="J34" s="51" t="inlineStr">
        <is>
          <t>原清单未标注单位及数量，按成套配置计</t>
        </is>
      </c>
    </row>
    <row r="35">
      <c r="A35" s="52" t="n">
        <v>17</v>
      </c>
      <c r="B35" s="51" t="inlineStr">
        <is>
          <t>配电系统</t>
        </is>
      </c>
      <c r="C35" s="51" t="inlineStr">
        <is>
          <t>电线电缆</t>
        </is>
      </c>
      <c r="D35" s="51" t="inlineStr">
        <is>
          <t>国优</t>
        </is>
      </c>
      <c r="E35" s="52" t="inlineStr">
        <is>
          <t>项</t>
        </is>
      </c>
      <c r="F35" s="133" t="n">
        <v>1</v>
      </c>
      <c r="G35" s="134" t="n">
        <v>13000</v>
      </c>
      <c r="H35" s="134">
        <f>F35*G35</f>
        <v/>
      </c>
      <c r="I35" s="52" t="inlineStr">
        <is>
          <t>国优（国产）</t>
        </is>
      </c>
      <c r="J35" s="51" t="inlineStr">
        <is>
          <t>原清单未标注单位及数量，按成套配置计</t>
        </is>
      </c>
    </row>
    <row r="36">
      <c r="A36" s="52" t="n">
        <v>18</v>
      </c>
      <c r="B36" s="51" t="inlineStr">
        <is>
          <t>配电系统</t>
        </is>
      </c>
      <c r="C36" s="51" t="inlineStr">
        <is>
          <t>电线管</t>
        </is>
      </c>
      <c r="D36" s="51" t="inlineStr">
        <is>
          <t>PVC</t>
        </is>
      </c>
      <c r="E36" s="52" t="inlineStr">
        <is>
          <t>项</t>
        </is>
      </c>
      <c r="F36" s="133" t="n">
        <v>1</v>
      </c>
      <c r="G36" s="134" t="n">
        <v>4800</v>
      </c>
      <c r="H36" s="134">
        <f>F36*G36</f>
        <v/>
      </c>
      <c r="I36" s="52" t="inlineStr">
        <is>
          <t>国产（待定）</t>
        </is>
      </c>
      <c r="J36" s="51" t="inlineStr">
        <is>
          <t>原清单未标注单位及数量，按成套配置计</t>
        </is>
      </c>
    </row>
    <row r="37">
      <c r="A37" s="64" t="inlineStr">
        <is>
          <t>（一）含氰废气处理 主设备（编号：(1F-3F)-含氰1）  小计</t>
        </is>
      </c>
      <c r="B37" s="135" t="n"/>
      <c r="C37" s="135" t="n"/>
      <c r="D37" s="135" t="n"/>
      <c r="E37" s="136" t="n"/>
      <c r="F37" s="65" t="n"/>
      <c r="G37" s="65" t="n"/>
      <c r="H37" s="137">
        <f>SUM(H19:H36)</f>
        <v/>
      </c>
      <c r="I37" s="65" t="n"/>
      <c r="J37" s="65" t="n"/>
    </row>
    <row r="38">
      <c r="A38" s="46" t="inlineStr">
        <is>
          <t>（二）3楼酸碱废气处理 主设备（编号：3F-酸碱4）</t>
        </is>
      </c>
    </row>
    <row r="39">
      <c r="A39" s="52" t="n">
        <v>19</v>
      </c>
      <c r="B39" s="51" t="inlineStr">
        <is>
          <t>喷淋净化塔</t>
        </is>
      </c>
      <c r="C39" s="51" t="inlineStr">
        <is>
          <t>喷淋塔塔体</t>
        </is>
      </c>
      <c r="D3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39" s="52" t="inlineStr">
        <is>
          <t>套</t>
        </is>
      </c>
      <c r="F39" s="133" t="n">
        <v>1</v>
      </c>
      <c r="G39" s="134" t="n">
        <v>88000</v>
      </c>
      <c r="H39" s="134">
        <f>F39*G39</f>
        <v/>
      </c>
      <c r="I39" s="52" t="inlineStr">
        <is>
          <t>国产（待定）</t>
        </is>
      </c>
      <c r="J39" s="51" t="str"/>
    </row>
    <row r="40">
      <c r="A40" s="52" t="n">
        <v>20</v>
      </c>
      <c r="B40" s="51" t="inlineStr">
        <is>
          <t>喷淋净化塔</t>
        </is>
      </c>
      <c r="C40" s="51" t="inlineStr">
        <is>
          <t>填料</t>
        </is>
      </c>
      <c r="D40" s="51" t="inlineStr">
        <is>
          <t>填料规格：采用PP射出成形带刺空心球填料 尺寸：φ50mm， 填料用量:150720个</t>
        </is>
      </c>
      <c r="E40" s="52" t="inlineStr">
        <is>
          <t>项</t>
        </is>
      </c>
      <c r="F40" s="133" t="n">
        <v>1</v>
      </c>
      <c r="G40" s="134" t="n">
        <v>11800</v>
      </c>
      <c r="H40" s="134">
        <f>F40*G40</f>
        <v/>
      </c>
      <c r="I40" s="52" t="inlineStr">
        <is>
          <t>国产（待定）</t>
        </is>
      </c>
      <c r="J40" s="51" t="str"/>
    </row>
    <row r="41">
      <c r="A41" s="52" t="n">
        <v>21</v>
      </c>
      <c r="B41" s="51" t="inlineStr">
        <is>
          <t>喷淋净化塔</t>
        </is>
      </c>
      <c r="C41" s="51" t="inlineStr">
        <is>
          <t>循环喷淋管道</t>
        </is>
      </c>
      <c r="D41" s="51" t="inlineStr">
        <is>
          <t>材质：UPVC，耐压1.0MPa及以上，水管、弯头、法兰、等。</t>
        </is>
      </c>
      <c r="E41" s="52" t="inlineStr">
        <is>
          <t>项</t>
        </is>
      </c>
      <c r="F41" s="133" t="n">
        <v>1</v>
      </c>
      <c r="G41" s="134" t="n">
        <v>5200</v>
      </c>
      <c r="H41" s="134">
        <f>F41*G41</f>
        <v/>
      </c>
      <c r="I41" s="52" t="inlineStr">
        <is>
          <t>国产（待定）</t>
        </is>
      </c>
      <c r="J41" s="51" t="str"/>
    </row>
    <row r="42">
      <c r="A42" s="52" t="n">
        <v>22</v>
      </c>
      <c r="B42" s="51" t="inlineStr">
        <is>
          <t>大月弯</t>
        </is>
      </c>
      <c r="C42" s="51" t="inlineStr">
        <is>
          <t>大月弯</t>
        </is>
      </c>
      <c r="D42" s="51" t="inlineStr">
        <is>
          <t>直径：1350mm</t>
        </is>
      </c>
      <c r="E42" s="52" t="inlineStr">
        <is>
          <t>个</t>
        </is>
      </c>
      <c r="F42" s="133" t="n">
        <v>1</v>
      </c>
      <c r="G42" s="134" t="n">
        <v>7000</v>
      </c>
      <c r="H42" s="134">
        <f>F42*G42</f>
        <v/>
      </c>
      <c r="I42" s="52" t="inlineStr">
        <is>
          <t>国产（待定）</t>
        </is>
      </c>
      <c r="J42" s="51" t="str"/>
    </row>
    <row r="43">
      <c r="A43" s="52" t="n">
        <v>23</v>
      </c>
      <c r="B43" s="51" t="inlineStr">
        <is>
          <t>设备连接系统</t>
        </is>
      </c>
      <c r="C43" s="51" t="inlineStr">
        <is>
          <t>φ1350mm风管及管件</t>
        </is>
      </c>
      <c r="D43" s="51" t="inlineStr">
        <is>
          <t>含弯头及风管 直径：1350mm 风管数量：4.5m 90°弯头:1个 所有风管及管件法兰连接</t>
        </is>
      </c>
      <c r="E43" s="52" t="inlineStr">
        <is>
          <t>项</t>
        </is>
      </c>
      <c r="F43" s="133" t="n">
        <v>1</v>
      </c>
      <c r="G43" s="134" t="n">
        <v>4200</v>
      </c>
      <c r="H43" s="134">
        <f>F43*G43</f>
        <v/>
      </c>
      <c r="I43" s="52" t="inlineStr">
        <is>
          <t>国产（待定）</t>
        </is>
      </c>
      <c r="J43" s="51" t="str"/>
    </row>
    <row r="44">
      <c r="A44" s="52" t="n">
        <v>24</v>
      </c>
      <c r="B44" s="51" t="inlineStr">
        <is>
          <t>排放管</t>
        </is>
      </c>
      <c r="C44" s="51" t="inlineStr">
        <is>
          <t>排放管</t>
        </is>
      </c>
      <c r="D44" s="51" t="inlineStr">
        <is>
          <t>烟囱、风帽、及避雷设施 烟囱直径：1350mm 烟囱数量：7.5m。 带取样口</t>
        </is>
      </c>
      <c r="E44" s="52" t="inlineStr">
        <is>
          <t>套</t>
        </is>
      </c>
      <c r="F44" s="133" t="n">
        <v>1</v>
      </c>
      <c r="G44" s="134" t="n">
        <v>13800</v>
      </c>
      <c r="H44" s="134">
        <f>F44*G44</f>
        <v/>
      </c>
      <c r="I44" s="52" t="inlineStr">
        <is>
          <t>国产（待定）</t>
        </is>
      </c>
      <c r="J44" s="51" t="inlineStr">
        <is>
          <t>原清单表述为“烟囱数量：7.5m”，按7.5m高烟囱及附件成套计</t>
        </is>
      </c>
    </row>
    <row r="45">
      <c r="A45" s="52" t="n">
        <v>25</v>
      </c>
      <c r="B45" s="51" t="inlineStr">
        <is>
          <t>排放管</t>
        </is>
      </c>
      <c r="C45" s="51" t="inlineStr">
        <is>
          <t>防雨帽</t>
        </is>
      </c>
      <c r="D45" s="51" t="inlineStr">
        <is>
          <t>设备配套定制款</t>
        </is>
      </c>
      <c r="E45" s="52" t="inlineStr">
        <is>
          <t>个</t>
        </is>
      </c>
      <c r="F45" s="133" t="n">
        <v>1</v>
      </c>
      <c r="G45" s="134" t="n">
        <v>2100</v>
      </c>
      <c r="H45" s="134">
        <f>F45*G45</f>
        <v/>
      </c>
      <c r="I45" s="52" t="inlineStr">
        <is>
          <t>国产（待定）</t>
        </is>
      </c>
      <c r="J45" s="51" t="str"/>
    </row>
    <row r="46">
      <c r="A46" s="52" t="n">
        <v>26</v>
      </c>
      <c r="B46" s="51" t="inlineStr">
        <is>
          <t>检测平台</t>
        </is>
      </c>
      <c r="C46" s="51" t="inlineStr">
        <is>
          <t>检测平台</t>
        </is>
      </c>
      <c r="D46" s="51" t="inlineStr">
        <is>
          <t>平台固定座：铁板 平台立柱：方通 平台护栏：方通 平台地面及踏步：花纹板 平台立柱黄色防腐油漆，其他为深灰色防腐油漆</t>
        </is>
      </c>
      <c r="E46" s="52" t="inlineStr">
        <is>
          <t>套</t>
        </is>
      </c>
      <c r="F46" s="133" t="n">
        <v>1</v>
      </c>
      <c r="G46" s="134" t="n">
        <v>13500</v>
      </c>
      <c r="H46" s="134">
        <f>F46*G46</f>
        <v/>
      </c>
      <c r="I46" s="52" t="inlineStr">
        <is>
          <t>国产（待定）</t>
        </is>
      </c>
      <c r="J46" s="51" t="str"/>
    </row>
    <row r="47">
      <c r="A47" s="52" t="n">
        <v>27</v>
      </c>
      <c r="B47" s="51" t="inlineStr">
        <is>
          <t>风机</t>
        </is>
      </c>
      <c r="C47" s="51" t="inlineStr">
        <is>
          <t>风机</t>
        </is>
      </c>
      <c r="D47" s="51" t="inlineStr">
        <is>
          <t>型号：FAN-SYS-090-75KW 处理风量：80000m³/h 压力：1800Pa</t>
        </is>
      </c>
      <c r="E47" s="52" t="inlineStr">
        <is>
          <t>台</t>
        </is>
      </c>
      <c r="F47" s="133" t="n">
        <v>1</v>
      </c>
      <c r="G47" s="134" t="n">
        <v>131000</v>
      </c>
      <c r="H47" s="134">
        <f>F47*G47</f>
        <v/>
      </c>
      <c r="I47" s="52" t="inlineStr">
        <is>
          <t>国产（待定）</t>
        </is>
      </c>
      <c r="J47" s="51" t="str"/>
    </row>
    <row r="48">
      <c r="A48" s="52" t="n">
        <v>28</v>
      </c>
      <c r="B48" s="51" t="inlineStr">
        <is>
          <t>循环喷淋系统</t>
        </is>
      </c>
      <c r="C48" s="51" t="inlineStr">
        <is>
          <t>喷淋循环泵</t>
        </is>
      </c>
      <c r="D48" s="51" t="inlineStr">
        <is>
          <t>功率:10HP 流量：55m³/h 扬程：28M</t>
        </is>
      </c>
      <c r="E48" s="52" t="inlineStr">
        <is>
          <t>台</t>
        </is>
      </c>
      <c r="F48" s="133" t="n">
        <v>2</v>
      </c>
      <c r="G48" s="134" t="n">
        <v>7000</v>
      </c>
      <c r="H48" s="134">
        <f>F48*G48</f>
        <v/>
      </c>
      <c r="I48" s="52" t="inlineStr">
        <is>
          <t>国产（待定）</t>
        </is>
      </c>
      <c r="J48" s="51" t="str"/>
    </row>
    <row r="49">
      <c r="A49" s="52" t="n">
        <v>29</v>
      </c>
      <c r="B49" s="51" t="inlineStr">
        <is>
          <t>自动加药系统</t>
        </is>
      </c>
      <c r="C49" s="51" t="inlineStr">
        <is>
          <t>PH计</t>
        </is>
      </c>
      <c r="D49" s="51" t="inlineStr">
        <is>
          <t>使用部位喷淋塔塔体,仪表+探头</t>
        </is>
      </c>
      <c r="E49" s="52" t="inlineStr">
        <is>
          <t>套</t>
        </is>
      </c>
      <c r="F49" s="133" t="n">
        <v>1</v>
      </c>
      <c r="G49" s="134" t="n">
        <v>7200</v>
      </c>
      <c r="H49" s="134">
        <f>F49*G49</f>
        <v/>
      </c>
      <c r="I49" s="52" t="inlineStr">
        <is>
          <t>国产（待定）</t>
        </is>
      </c>
      <c r="J49" s="51" t="str"/>
    </row>
    <row r="50">
      <c r="A50" s="52" t="n">
        <v>30</v>
      </c>
      <c r="B50" s="51" t="inlineStr">
        <is>
          <t>自动加药系统</t>
        </is>
      </c>
      <c r="C50" s="51" t="inlineStr">
        <is>
          <t>加药泵</t>
        </is>
      </c>
      <c r="D50" s="51" t="inlineStr">
        <is>
          <t>MD-40RM</t>
        </is>
      </c>
      <c r="E50" s="52" t="inlineStr">
        <is>
          <t>台</t>
        </is>
      </c>
      <c r="F50" s="133" t="n">
        <v>1</v>
      </c>
      <c r="G50" s="134" t="n">
        <v>3000</v>
      </c>
      <c r="H50" s="134">
        <f>F50*G50</f>
        <v/>
      </c>
      <c r="I50" s="52" t="inlineStr">
        <is>
          <t>国产（待定）</t>
        </is>
      </c>
      <c r="J50" s="51" t="str"/>
    </row>
    <row r="51">
      <c r="A51" s="52" t="n">
        <v>31</v>
      </c>
      <c r="B51" s="51" t="inlineStr">
        <is>
          <t>自动加药系统</t>
        </is>
      </c>
      <c r="C51" s="51" t="inlineStr">
        <is>
          <t>储药箱</t>
        </is>
      </c>
      <c r="D51" s="51" t="inlineStr">
        <is>
          <t>材质：PP阻燃，含配套输送管道系统等附件</t>
        </is>
      </c>
      <c r="E51" s="52" t="inlineStr">
        <is>
          <t>套</t>
        </is>
      </c>
      <c r="F51" s="133" t="n">
        <v>1</v>
      </c>
      <c r="G51" s="134" t="n">
        <v>5000</v>
      </c>
      <c r="H51" s="134">
        <f>F51*G51</f>
        <v/>
      </c>
      <c r="I51" s="52" t="inlineStr">
        <is>
          <t>国产（待定）</t>
        </is>
      </c>
      <c r="J51" s="51" t="str"/>
    </row>
    <row r="52">
      <c r="A52" s="52" t="n">
        <v>32</v>
      </c>
      <c r="B52" s="51" t="inlineStr">
        <is>
          <t>配电系统</t>
        </is>
      </c>
      <c r="C52" s="51" t="inlineStr">
        <is>
          <t>电控箱</t>
        </is>
      </c>
      <c r="D52" s="51" t="inlineStr">
        <is>
          <t>碳钢+烤漆</t>
        </is>
      </c>
      <c r="E52" s="52" t="inlineStr">
        <is>
          <t>套</t>
        </is>
      </c>
      <c r="F52" s="133" t="n">
        <v>1</v>
      </c>
      <c r="G52" s="134" t="n">
        <v>52000</v>
      </c>
      <c r="H52" s="134">
        <f>F52*G52</f>
        <v/>
      </c>
      <c r="I52" s="52" t="inlineStr">
        <is>
          <t>国产（待定）</t>
        </is>
      </c>
      <c r="J52" s="51" t="str"/>
    </row>
    <row r="53">
      <c r="A53" s="52" t="n">
        <v>33</v>
      </c>
      <c r="B53" s="51" t="inlineStr">
        <is>
          <t>配电系统</t>
        </is>
      </c>
      <c r="C53" s="51" t="inlineStr">
        <is>
          <t>变频器</t>
        </is>
      </c>
      <c r="D53" s="51" t="str"/>
      <c r="E53" s="52" t="inlineStr">
        <is>
          <t>台</t>
        </is>
      </c>
      <c r="F53" s="133" t="n">
        <v>1</v>
      </c>
      <c r="G53" s="134" t="n">
        <v>28000</v>
      </c>
      <c r="H53" s="134">
        <f>F53*G53</f>
        <v/>
      </c>
      <c r="I53" s="52" t="inlineStr">
        <is>
          <t>国产（待定）</t>
        </is>
      </c>
      <c r="J53" s="51" t="inlineStr">
        <is>
          <t>原清单未标注规格、单位及数量，按系统配套功率配置</t>
        </is>
      </c>
    </row>
    <row r="54">
      <c r="A54" s="52" t="n">
        <v>34</v>
      </c>
      <c r="B54" s="51" t="inlineStr">
        <is>
          <t>配电系统</t>
        </is>
      </c>
      <c r="C54" s="51" t="inlineStr">
        <is>
          <t>电器元件</t>
        </is>
      </c>
      <c r="D54" s="51" t="inlineStr">
        <is>
          <t>正泰</t>
        </is>
      </c>
      <c r="E54" s="52" t="inlineStr">
        <is>
          <t>项</t>
        </is>
      </c>
      <c r="F54" s="133" t="n">
        <v>1</v>
      </c>
      <c r="G54" s="134" t="n">
        <v>11500</v>
      </c>
      <c r="H54" s="134">
        <f>F54*G54</f>
        <v/>
      </c>
      <c r="I54" s="52" t="inlineStr">
        <is>
          <t>正泰（国产）</t>
        </is>
      </c>
      <c r="J54" s="51" t="inlineStr">
        <is>
          <t>原清单未标注单位及数量，按成套配置计</t>
        </is>
      </c>
    </row>
    <row r="55">
      <c r="A55" s="52" t="n">
        <v>35</v>
      </c>
      <c r="B55" s="51" t="inlineStr">
        <is>
          <t>配电系统</t>
        </is>
      </c>
      <c r="C55" s="51" t="inlineStr">
        <is>
          <t>电线电缆</t>
        </is>
      </c>
      <c r="D55" s="51" t="inlineStr">
        <is>
          <t>金环宇</t>
        </is>
      </c>
      <c r="E55" s="52" t="inlineStr">
        <is>
          <t>项</t>
        </is>
      </c>
      <c r="F55" s="133" t="n">
        <v>1</v>
      </c>
      <c r="G55" s="134" t="n">
        <v>16000</v>
      </c>
      <c r="H55" s="134">
        <f>F55*G55</f>
        <v/>
      </c>
      <c r="I55" s="52" t="inlineStr">
        <is>
          <t>金环宇（国产）</t>
        </is>
      </c>
      <c r="J55" s="51" t="inlineStr">
        <is>
          <t>原清单未标注单位及数量，按成套配置计</t>
        </is>
      </c>
    </row>
    <row r="56">
      <c r="A56" s="52" t="n">
        <v>36</v>
      </c>
      <c r="B56" s="51" t="inlineStr">
        <is>
          <t>配电系统</t>
        </is>
      </c>
      <c r="C56" s="51" t="inlineStr">
        <is>
          <t>电线管</t>
        </is>
      </c>
      <c r="D56" s="51" t="inlineStr">
        <is>
          <t>PVC</t>
        </is>
      </c>
      <c r="E56" s="52" t="inlineStr">
        <is>
          <t>项</t>
        </is>
      </c>
      <c r="F56" s="133" t="n">
        <v>1</v>
      </c>
      <c r="G56" s="134" t="n">
        <v>6200</v>
      </c>
      <c r="H56" s="134">
        <f>F56*G56</f>
        <v/>
      </c>
      <c r="I56" s="52" t="inlineStr">
        <is>
          <t>国产（待定）</t>
        </is>
      </c>
      <c r="J56" s="51" t="inlineStr">
        <is>
          <t>原清单未标注单位及数量，按成套配置计</t>
        </is>
      </c>
    </row>
    <row r="57">
      <c r="A57" s="64" t="inlineStr">
        <is>
          <t>（二）3楼酸碱废气处理 主设备（编号：3F-酸碱4）  小计</t>
        </is>
      </c>
      <c r="B57" s="135" t="n"/>
      <c r="C57" s="135" t="n"/>
      <c r="D57" s="135" t="n"/>
      <c r="E57" s="136" t="n"/>
      <c r="F57" s="65" t="n"/>
      <c r="G57" s="65" t="n"/>
      <c r="H57" s="137">
        <f>SUM(H39:H56)</f>
        <v/>
      </c>
      <c r="I57" s="65" t="n"/>
      <c r="J57" s="65" t="n"/>
    </row>
    <row r="58">
      <c r="A58" s="46" t="inlineStr">
        <is>
          <t>（三）3楼酸碱废气处理 主设备（编号：3F-酸碱5）</t>
        </is>
      </c>
    </row>
    <row r="59">
      <c r="A59" s="52" t="n">
        <v>37</v>
      </c>
      <c r="B59" s="51" t="inlineStr">
        <is>
          <t>喷淋净化塔</t>
        </is>
      </c>
      <c r="C59" s="51" t="inlineStr">
        <is>
          <t>喷淋塔塔体</t>
        </is>
      </c>
      <c r="D5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59" s="52" t="inlineStr">
        <is>
          <t>套</t>
        </is>
      </c>
      <c r="F59" s="133" t="n">
        <v>1</v>
      </c>
      <c r="G59" s="134" t="n">
        <v>88000</v>
      </c>
      <c r="H59" s="134">
        <f>F59*G59</f>
        <v/>
      </c>
      <c r="I59" s="52" t="inlineStr">
        <is>
          <t>国产（待定）</t>
        </is>
      </c>
      <c r="J59" s="51" t="str"/>
    </row>
    <row r="60">
      <c r="A60" s="52" t="n">
        <v>38</v>
      </c>
      <c r="B60" s="51" t="inlineStr">
        <is>
          <t>喷淋净化塔</t>
        </is>
      </c>
      <c r="C60" s="51" t="inlineStr">
        <is>
          <t>填料</t>
        </is>
      </c>
      <c r="D60" s="51" t="inlineStr">
        <is>
          <t>填料规格：采用PP射出成形带刺空心球填料 尺寸：φ50mm， 填料用量:150720个</t>
        </is>
      </c>
      <c r="E60" s="52" t="inlineStr">
        <is>
          <t>项</t>
        </is>
      </c>
      <c r="F60" s="133" t="n">
        <v>1</v>
      </c>
      <c r="G60" s="134" t="n">
        <v>11800</v>
      </c>
      <c r="H60" s="134">
        <f>F60*G60</f>
        <v/>
      </c>
      <c r="I60" s="52" t="inlineStr">
        <is>
          <t>国产（待定）</t>
        </is>
      </c>
      <c r="J60" s="51" t="str"/>
    </row>
    <row r="61">
      <c r="A61" s="52" t="n">
        <v>39</v>
      </c>
      <c r="B61" s="51" t="inlineStr">
        <is>
          <t>喷淋净化塔</t>
        </is>
      </c>
      <c r="C61" s="51" t="inlineStr">
        <is>
          <t>循环喷淋管道</t>
        </is>
      </c>
      <c r="D61" s="51" t="inlineStr">
        <is>
          <t>材质：UPVC，耐压1.0MPa及以上，水管、弯头、法兰、等。</t>
        </is>
      </c>
      <c r="E61" s="52" t="inlineStr">
        <is>
          <t>项</t>
        </is>
      </c>
      <c r="F61" s="133" t="n">
        <v>1</v>
      </c>
      <c r="G61" s="134" t="n">
        <v>5200</v>
      </c>
      <c r="H61" s="134">
        <f>F61*G61</f>
        <v/>
      </c>
      <c r="I61" s="52" t="inlineStr">
        <is>
          <t>国产（待定）</t>
        </is>
      </c>
      <c r="J61" s="51" t="str"/>
    </row>
    <row r="62">
      <c r="A62" s="52" t="n">
        <v>40</v>
      </c>
      <c r="B62" s="51" t="inlineStr">
        <is>
          <t>大月弯</t>
        </is>
      </c>
      <c r="C62" s="51" t="inlineStr">
        <is>
          <t>大月弯</t>
        </is>
      </c>
      <c r="D62" s="51" t="inlineStr">
        <is>
          <t>直径：1350mm</t>
        </is>
      </c>
      <c r="E62" s="52" t="inlineStr">
        <is>
          <t>个</t>
        </is>
      </c>
      <c r="F62" s="133" t="n">
        <v>1</v>
      </c>
      <c r="G62" s="134" t="n">
        <v>7000</v>
      </c>
      <c r="H62" s="134">
        <f>F62*G62</f>
        <v/>
      </c>
      <c r="I62" s="52" t="inlineStr">
        <is>
          <t>国产（待定）</t>
        </is>
      </c>
      <c r="J62" s="51" t="str"/>
    </row>
    <row r="63">
      <c r="A63" s="52" t="n">
        <v>41</v>
      </c>
      <c r="B63" s="51" t="inlineStr">
        <is>
          <t>设备连接系统</t>
        </is>
      </c>
      <c r="C63" s="51" t="inlineStr">
        <is>
          <t>φ1350mm风管及管件</t>
        </is>
      </c>
      <c r="D63" s="51" t="inlineStr">
        <is>
          <t>含弯头及风管 直径：1350mm 风管数量：4.5m 90°弯头:1个 所有风管及管件法兰连接</t>
        </is>
      </c>
      <c r="E63" s="52" t="inlineStr">
        <is>
          <t>项</t>
        </is>
      </c>
      <c r="F63" s="133" t="n">
        <v>1</v>
      </c>
      <c r="G63" s="134" t="n">
        <v>4200</v>
      </c>
      <c r="H63" s="134">
        <f>F63*G63</f>
        <v/>
      </c>
      <c r="I63" s="52" t="inlineStr">
        <is>
          <t>国产（待定）</t>
        </is>
      </c>
      <c r="J63" s="51" t="str"/>
    </row>
    <row r="64">
      <c r="A64" s="52" t="n">
        <v>42</v>
      </c>
      <c r="B64" s="51" t="inlineStr">
        <is>
          <t>排放管</t>
        </is>
      </c>
      <c r="C64" s="51" t="inlineStr">
        <is>
          <t>排放管</t>
        </is>
      </c>
      <c r="D64" s="51" t="inlineStr">
        <is>
          <t>烟囱、风帽、及避雷设施 烟囱直径：1350mm 烟囱数量：7.5m。 带取样口</t>
        </is>
      </c>
      <c r="E64" s="52" t="inlineStr">
        <is>
          <t>套</t>
        </is>
      </c>
      <c r="F64" s="133" t="n">
        <v>1</v>
      </c>
      <c r="G64" s="134" t="n">
        <v>13800</v>
      </c>
      <c r="H64" s="134">
        <f>F64*G64</f>
        <v/>
      </c>
      <c r="I64" s="52" t="inlineStr">
        <is>
          <t>国产（待定）</t>
        </is>
      </c>
      <c r="J64" s="51" t="inlineStr">
        <is>
          <t>原清单表述为“烟囱数量：7.5m”，按7.5m高烟囱及附件成套计</t>
        </is>
      </c>
    </row>
    <row r="65">
      <c r="A65" s="52" t="n">
        <v>43</v>
      </c>
      <c r="B65" s="51" t="inlineStr">
        <is>
          <t>排放管</t>
        </is>
      </c>
      <c r="C65" s="51" t="inlineStr">
        <is>
          <t>防雨帽</t>
        </is>
      </c>
      <c r="D65" s="51" t="inlineStr">
        <is>
          <t>设备配套定制款</t>
        </is>
      </c>
      <c r="E65" s="52" t="inlineStr">
        <is>
          <t>个</t>
        </is>
      </c>
      <c r="F65" s="133" t="n">
        <v>1</v>
      </c>
      <c r="G65" s="134" t="n">
        <v>2100</v>
      </c>
      <c r="H65" s="134">
        <f>F65*G65</f>
        <v/>
      </c>
      <c r="I65" s="52" t="inlineStr">
        <is>
          <t>国产（待定）</t>
        </is>
      </c>
      <c r="J65" s="51" t="str"/>
    </row>
    <row r="66">
      <c r="A66" s="52" t="n">
        <v>44</v>
      </c>
      <c r="B66" s="51" t="inlineStr">
        <is>
          <t>检测平台</t>
        </is>
      </c>
      <c r="C66" s="51" t="inlineStr">
        <is>
          <t>检测平台</t>
        </is>
      </c>
      <c r="D66" s="51" t="inlineStr">
        <is>
          <t>平台固定座：铁板 平台立柱：方通 平台护栏：方通 平台地面及踏步：花纹板 平台立柱黄色防腐油漆，其他为深灰色防腐油漆</t>
        </is>
      </c>
      <c r="E66" s="52" t="inlineStr">
        <is>
          <t>套</t>
        </is>
      </c>
      <c r="F66" s="133" t="n">
        <v>1</v>
      </c>
      <c r="G66" s="134" t="n">
        <v>13500</v>
      </c>
      <c r="H66" s="134">
        <f>F66*G66</f>
        <v/>
      </c>
      <c r="I66" s="52" t="inlineStr">
        <is>
          <t>国产（待定）</t>
        </is>
      </c>
      <c r="J66" s="51" t="str"/>
    </row>
    <row r="67">
      <c r="A67" s="52" t="n">
        <v>45</v>
      </c>
      <c r="B67" s="51" t="inlineStr">
        <is>
          <t>风机</t>
        </is>
      </c>
      <c r="C67" s="51" t="inlineStr">
        <is>
          <t>风机</t>
        </is>
      </c>
      <c r="D67" s="51" t="inlineStr">
        <is>
          <t>型号：FAN-SYS-090-75KW 处理风量：80000m³/h 压力：1800Pa</t>
        </is>
      </c>
      <c r="E67" s="52" t="inlineStr">
        <is>
          <t>台</t>
        </is>
      </c>
      <c r="F67" s="133" t="n">
        <v>1</v>
      </c>
      <c r="G67" s="134" t="n">
        <v>131000</v>
      </c>
      <c r="H67" s="134">
        <f>F67*G67</f>
        <v/>
      </c>
      <c r="I67" s="52" t="inlineStr">
        <is>
          <t>国产（待定）</t>
        </is>
      </c>
      <c r="J67" s="51" t="str"/>
    </row>
    <row r="68">
      <c r="A68" s="52" t="n">
        <v>46</v>
      </c>
      <c r="B68" s="51" t="inlineStr">
        <is>
          <t>循环喷淋系统</t>
        </is>
      </c>
      <c r="C68" s="51" t="inlineStr">
        <is>
          <t>喷淋循环泵</t>
        </is>
      </c>
      <c r="D68" s="51" t="inlineStr">
        <is>
          <t>功率:10HP 流量：55m³/h 扬程：28M</t>
        </is>
      </c>
      <c r="E68" s="52" t="inlineStr">
        <is>
          <t>台</t>
        </is>
      </c>
      <c r="F68" s="133" t="n">
        <v>2</v>
      </c>
      <c r="G68" s="134" t="n">
        <v>7000</v>
      </c>
      <c r="H68" s="134">
        <f>F68*G68</f>
        <v/>
      </c>
      <c r="I68" s="52" t="inlineStr">
        <is>
          <t>国产（待定）</t>
        </is>
      </c>
      <c r="J68" s="51" t="str"/>
    </row>
    <row r="69">
      <c r="A69" s="52" t="n">
        <v>47</v>
      </c>
      <c r="B69" s="51" t="inlineStr">
        <is>
          <t>自动加药系统</t>
        </is>
      </c>
      <c r="C69" s="51" t="inlineStr">
        <is>
          <t>PH计</t>
        </is>
      </c>
      <c r="D69" s="51" t="inlineStr">
        <is>
          <t>使用部位喷淋塔塔体,仪表+探头</t>
        </is>
      </c>
      <c r="E69" s="52" t="inlineStr">
        <is>
          <t>套</t>
        </is>
      </c>
      <c r="F69" s="133" t="n">
        <v>1</v>
      </c>
      <c r="G69" s="134" t="n">
        <v>7200</v>
      </c>
      <c r="H69" s="134">
        <f>F69*G69</f>
        <v/>
      </c>
      <c r="I69" s="52" t="inlineStr">
        <is>
          <t>国产（待定）</t>
        </is>
      </c>
      <c r="J69" s="51" t="str"/>
    </row>
    <row r="70">
      <c r="A70" s="52" t="n">
        <v>48</v>
      </c>
      <c r="B70" s="51" t="inlineStr">
        <is>
          <t>自动加药系统</t>
        </is>
      </c>
      <c r="C70" s="51" t="inlineStr">
        <is>
          <t>加药泵</t>
        </is>
      </c>
      <c r="D70" s="51" t="inlineStr">
        <is>
          <t>MD-40RM</t>
        </is>
      </c>
      <c r="E70" s="52" t="inlineStr">
        <is>
          <t>台</t>
        </is>
      </c>
      <c r="F70" s="133" t="n">
        <v>1</v>
      </c>
      <c r="G70" s="134" t="n">
        <v>3000</v>
      </c>
      <c r="H70" s="134">
        <f>F70*G70</f>
        <v/>
      </c>
      <c r="I70" s="52" t="inlineStr">
        <is>
          <t>国产（待定）</t>
        </is>
      </c>
      <c r="J70" s="51" t="str"/>
    </row>
    <row r="71">
      <c r="A71" s="52" t="n">
        <v>49</v>
      </c>
      <c r="B71" s="51" t="inlineStr">
        <is>
          <t>自动加药系统</t>
        </is>
      </c>
      <c r="C71" s="51" t="inlineStr">
        <is>
          <t>储药箱</t>
        </is>
      </c>
      <c r="D71" s="51" t="inlineStr">
        <is>
          <t>材质：PP阻燃，含配套输送管道系统等附件</t>
        </is>
      </c>
      <c r="E71" s="52" t="inlineStr">
        <is>
          <t>套</t>
        </is>
      </c>
      <c r="F71" s="133" t="n">
        <v>1</v>
      </c>
      <c r="G71" s="134" t="n">
        <v>5000</v>
      </c>
      <c r="H71" s="134">
        <f>F71*G71</f>
        <v/>
      </c>
      <c r="I71" s="52" t="inlineStr">
        <is>
          <t>国产（待定）</t>
        </is>
      </c>
      <c r="J71" s="51" t="str"/>
    </row>
    <row r="72">
      <c r="A72" s="52" t="n">
        <v>50</v>
      </c>
      <c r="B72" s="51" t="inlineStr">
        <is>
          <t>配电系统</t>
        </is>
      </c>
      <c r="C72" s="51" t="inlineStr">
        <is>
          <t>电控箱</t>
        </is>
      </c>
      <c r="D72" s="51" t="inlineStr">
        <is>
          <t>碳钢+烤漆</t>
        </is>
      </c>
      <c r="E72" s="52" t="inlineStr">
        <is>
          <t>套</t>
        </is>
      </c>
      <c r="F72" s="133" t="n">
        <v>1</v>
      </c>
      <c r="G72" s="134" t="n">
        <v>52000</v>
      </c>
      <c r="H72" s="134">
        <f>F72*G72</f>
        <v/>
      </c>
      <c r="I72" s="52" t="inlineStr">
        <is>
          <t>国产（待定）</t>
        </is>
      </c>
      <c r="J72" s="51" t="str"/>
    </row>
    <row r="73">
      <c r="A73" s="52" t="n">
        <v>51</v>
      </c>
      <c r="B73" s="51" t="inlineStr">
        <is>
          <t>配电系统</t>
        </is>
      </c>
      <c r="C73" s="51" t="inlineStr">
        <is>
          <t>变频器</t>
        </is>
      </c>
      <c r="D73" s="51" t="str"/>
      <c r="E73" s="52" t="inlineStr">
        <is>
          <t>台</t>
        </is>
      </c>
      <c r="F73" s="133" t="n">
        <v>1</v>
      </c>
      <c r="G73" s="134" t="n">
        <v>28000</v>
      </c>
      <c r="H73" s="134">
        <f>F73*G73</f>
        <v/>
      </c>
      <c r="I73" s="52" t="inlineStr">
        <is>
          <t>国产（待定）</t>
        </is>
      </c>
      <c r="J73" s="51" t="inlineStr">
        <is>
          <t>原清单未标注规格、单位及数量，按系统配套功率配置</t>
        </is>
      </c>
    </row>
    <row r="74">
      <c r="A74" s="52" t="n">
        <v>52</v>
      </c>
      <c r="B74" s="51" t="inlineStr">
        <is>
          <t>配电系统</t>
        </is>
      </c>
      <c r="C74" s="51" t="inlineStr">
        <is>
          <t>电器元件</t>
        </is>
      </c>
      <c r="D74" s="51" t="inlineStr">
        <is>
          <t>正泰</t>
        </is>
      </c>
      <c r="E74" s="52" t="inlineStr">
        <is>
          <t>项</t>
        </is>
      </c>
      <c r="F74" s="133" t="n">
        <v>1</v>
      </c>
      <c r="G74" s="134" t="n">
        <v>11500</v>
      </c>
      <c r="H74" s="134">
        <f>F74*G74</f>
        <v/>
      </c>
      <c r="I74" s="52" t="inlineStr">
        <is>
          <t>正泰（国产）</t>
        </is>
      </c>
      <c r="J74" s="51" t="inlineStr">
        <is>
          <t>原清单未标注单位及数量，按成套配置计</t>
        </is>
      </c>
    </row>
    <row r="75">
      <c r="A75" s="52" t="n">
        <v>53</v>
      </c>
      <c r="B75" s="51" t="inlineStr">
        <is>
          <t>配电系统</t>
        </is>
      </c>
      <c r="C75" s="51" t="inlineStr">
        <is>
          <t>电线电缆</t>
        </is>
      </c>
      <c r="D75" s="51" t="inlineStr">
        <is>
          <t>金环宇</t>
        </is>
      </c>
      <c r="E75" s="52" t="inlineStr">
        <is>
          <t>项</t>
        </is>
      </c>
      <c r="F75" s="133" t="n">
        <v>1</v>
      </c>
      <c r="G75" s="134" t="n">
        <v>16000</v>
      </c>
      <c r="H75" s="134">
        <f>F75*G75</f>
        <v/>
      </c>
      <c r="I75" s="52" t="inlineStr">
        <is>
          <t>金环宇（国产）</t>
        </is>
      </c>
      <c r="J75" s="51" t="inlineStr">
        <is>
          <t>原清单未标注单位及数量，按成套配置计</t>
        </is>
      </c>
    </row>
    <row r="76">
      <c r="A76" s="52" t="n">
        <v>54</v>
      </c>
      <c r="B76" s="51" t="inlineStr">
        <is>
          <t>配电系统</t>
        </is>
      </c>
      <c r="C76" s="51" t="inlineStr">
        <is>
          <t>电线管</t>
        </is>
      </c>
      <c r="D76" s="51" t="inlineStr">
        <is>
          <t>PVC</t>
        </is>
      </c>
      <c r="E76" s="52" t="inlineStr">
        <is>
          <t>项</t>
        </is>
      </c>
      <c r="F76" s="133" t="n">
        <v>1</v>
      </c>
      <c r="G76" s="134" t="n">
        <v>6200</v>
      </c>
      <c r="H76" s="134">
        <f>F76*G76</f>
        <v/>
      </c>
      <c r="I76" s="52" t="inlineStr">
        <is>
          <t>国产（待定）</t>
        </is>
      </c>
      <c r="J76" s="51" t="inlineStr">
        <is>
          <t>原清单未标注单位及数量，按成套配置计</t>
        </is>
      </c>
    </row>
    <row r="77">
      <c r="A77" s="64" t="inlineStr">
        <is>
          <t>（三）3楼酸碱废气处理 主设备（编号：3F-酸碱5）  小计</t>
        </is>
      </c>
      <c r="B77" s="135" t="n"/>
      <c r="C77" s="135" t="n"/>
      <c r="D77" s="135" t="n"/>
      <c r="E77" s="136" t="n"/>
      <c r="F77" s="65" t="n"/>
      <c r="G77" s="65" t="n"/>
      <c r="H77" s="137">
        <f>SUM(H59:H76)</f>
        <v/>
      </c>
      <c r="I77" s="65" t="n"/>
      <c r="J77" s="65" t="n"/>
    </row>
    <row r="78">
      <c r="A78" s="46" t="inlineStr">
        <is>
          <t>（四）3楼车间新风送风 主设备（编号：3F-送风4）</t>
        </is>
      </c>
    </row>
    <row r="79">
      <c r="A79" s="52" t="n">
        <v>55</v>
      </c>
      <c r="B79" s="51" t="inlineStr">
        <is>
          <t>蒸发式车间送风机组（送风机）</t>
        </is>
      </c>
      <c r="C79" s="51" t="inlineStr">
        <is>
          <t>蒸发式车间送风机组（送风机）</t>
        </is>
      </c>
      <c r="D79" s="51" t="inlineStr">
        <is>
          <t>尺寸：长2055*宽1770*高1440mm 最大风量:60000m³/h 最大风压:≥680Pa; 出风方向，侧中风 采用优质蒸发水帘: 电源:380V: 电机功率:15KW</t>
        </is>
      </c>
      <c r="E79" s="52" t="inlineStr">
        <is>
          <t>台</t>
        </is>
      </c>
      <c r="F79" s="133" t="n">
        <v>1</v>
      </c>
      <c r="G79" s="134" t="n">
        <v>102000</v>
      </c>
      <c r="H79" s="134">
        <f>F79*G79</f>
        <v/>
      </c>
      <c r="I79" s="52" t="inlineStr">
        <is>
          <t>国产（待定）</t>
        </is>
      </c>
      <c r="J79" s="51" t="str"/>
    </row>
    <row r="80">
      <c r="A80" s="52" t="n">
        <v>56</v>
      </c>
      <c r="B80" s="51" t="inlineStr">
        <is>
          <t>配电系统</t>
        </is>
      </c>
      <c r="C80" s="51" t="inlineStr">
        <is>
          <t>电控箱</t>
        </is>
      </c>
      <c r="D80" s="51" t="inlineStr">
        <is>
          <t>碳钢+烤漆</t>
        </is>
      </c>
      <c r="E80" s="52" t="inlineStr">
        <is>
          <t>套</t>
        </is>
      </c>
      <c r="F80" s="133" t="n">
        <v>1</v>
      </c>
      <c r="G80" s="134" t="n">
        <v>28000</v>
      </c>
      <c r="H80" s="134">
        <f>F80*G80</f>
        <v/>
      </c>
      <c r="I80" s="52" t="inlineStr">
        <is>
          <t>国产（待定）</t>
        </is>
      </c>
      <c r="J80" s="51" t="str"/>
    </row>
    <row r="81">
      <c r="A81" s="52" t="n">
        <v>57</v>
      </c>
      <c r="B81" s="51" t="inlineStr">
        <is>
          <t>配电系统</t>
        </is>
      </c>
      <c r="C81" s="51" t="inlineStr">
        <is>
          <t>电器元件</t>
        </is>
      </c>
      <c r="D81" s="51" t="inlineStr">
        <is>
          <t>正泰</t>
        </is>
      </c>
      <c r="E81" s="52" t="inlineStr">
        <is>
          <t>项</t>
        </is>
      </c>
      <c r="F81" s="133" t="n">
        <v>1</v>
      </c>
      <c r="G81" s="134" t="n">
        <v>7000</v>
      </c>
      <c r="H81" s="134">
        <f>F81*G81</f>
        <v/>
      </c>
      <c r="I81" s="52" t="inlineStr">
        <is>
          <t>正泰（国产）</t>
        </is>
      </c>
      <c r="J81" s="51" t="inlineStr">
        <is>
          <t>原清单未标注单位及数量，按成套配置计</t>
        </is>
      </c>
    </row>
    <row r="82">
      <c r="A82" s="52" t="n">
        <v>58</v>
      </c>
      <c r="B82" s="51" t="inlineStr">
        <is>
          <t>配电系统</t>
        </is>
      </c>
      <c r="C82" s="51" t="inlineStr">
        <is>
          <t>电线电缆</t>
        </is>
      </c>
      <c r="D82" s="51" t="str"/>
      <c r="E82" s="52" t="inlineStr">
        <is>
          <t>项</t>
        </is>
      </c>
      <c r="F82" s="133" t="n">
        <v>1</v>
      </c>
      <c r="G82" s="134" t="n">
        <v>8500</v>
      </c>
      <c r="H82" s="134">
        <f>F82*G82</f>
        <v/>
      </c>
      <c r="I82" s="52" t="inlineStr">
        <is>
          <t>国优（国产）</t>
        </is>
      </c>
      <c r="J82" s="51" t="inlineStr">
        <is>
          <t>原清单未标注规格、单位及数量，按成套配置计</t>
        </is>
      </c>
    </row>
    <row r="83">
      <c r="A83" s="52" t="n">
        <v>59</v>
      </c>
      <c r="B83" s="51" t="inlineStr">
        <is>
          <t>配电系统</t>
        </is>
      </c>
      <c r="C83" s="51" t="inlineStr">
        <is>
          <t>电线管</t>
        </is>
      </c>
      <c r="D83" s="51" t="inlineStr">
        <is>
          <t>PVC</t>
        </is>
      </c>
      <c r="E83" s="52" t="inlineStr">
        <is>
          <t>项</t>
        </is>
      </c>
      <c r="F83" s="133" t="n">
        <v>1</v>
      </c>
      <c r="G83" s="134" t="n">
        <v>3200</v>
      </c>
      <c r="H83" s="134">
        <f>F83*G83</f>
        <v/>
      </c>
      <c r="I83" s="52" t="inlineStr">
        <is>
          <t>国产（待定）</t>
        </is>
      </c>
      <c r="J83" s="51" t="inlineStr">
        <is>
          <t>原清单未标注单位及数量，按成套配置计</t>
        </is>
      </c>
    </row>
    <row r="84">
      <c r="A84" s="64" t="inlineStr">
        <is>
          <t>（四）3楼车间新风送风 主设备（编号：3F-送风4）  小计</t>
        </is>
      </c>
      <c r="B84" s="135" t="n"/>
      <c r="C84" s="135" t="n"/>
      <c r="D84" s="135" t="n"/>
      <c r="E84" s="136" t="n"/>
      <c r="F84" s="65" t="n"/>
      <c r="G84" s="65" t="n"/>
      <c r="H84" s="137">
        <f>SUM(H79:H83)</f>
        <v/>
      </c>
      <c r="I84" s="65" t="n"/>
      <c r="J84" s="65" t="n"/>
    </row>
    <row r="85">
      <c r="A85" s="46" t="inlineStr">
        <is>
          <t>（五）3楼车间新风送风 主设备（编号：3F-送风5）</t>
        </is>
      </c>
    </row>
    <row r="86">
      <c r="A86" s="52" t="n">
        <v>60</v>
      </c>
      <c r="B86" s="51" t="inlineStr">
        <is>
          <t>蒸发式车间送风机组（送风机）</t>
        </is>
      </c>
      <c r="C86" s="51" t="inlineStr">
        <is>
          <t>蒸发式车间送风机组（送风机）</t>
        </is>
      </c>
      <c r="D86" s="51" t="inlineStr">
        <is>
          <t>尺寸：长2055*宽1770*高1440mm 最大风量:60000m³/h 最大风压:≥680Pa; 出风方向，侧中风 采用优质蒸发水帘: 电源:380V: 电机功率:15KW</t>
        </is>
      </c>
      <c r="E86" s="52" t="inlineStr">
        <is>
          <t>台</t>
        </is>
      </c>
      <c r="F86" s="133" t="n">
        <v>1</v>
      </c>
      <c r="G86" s="134" t="n">
        <v>102000</v>
      </c>
      <c r="H86" s="134">
        <f>F86*G86</f>
        <v/>
      </c>
      <c r="I86" s="52" t="inlineStr">
        <is>
          <t>国产（待定）</t>
        </is>
      </c>
      <c r="J86" s="51" t="str"/>
    </row>
    <row r="87">
      <c r="A87" s="52" t="n">
        <v>61</v>
      </c>
      <c r="B87" s="51" t="inlineStr">
        <is>
          <t>配电系统</t>
        </is>
      </c>
      <c r="C87" s="51" t="inlineStr">
        <is>
          <t>电控箱</t>
        </is>
      </c>
      <c r="D87" s="51" t="inlineStr">
        <is>
          <t>碳钢+烤漆</t>
        </is>
      </c>
      <c r="E87" s="52" t="inlineStr">
        <is>
          <t>套</t>
        </is>
      </c>
      <c r="F87" s="133" t="n">
        <v>1</v>
      </c>
      <c r="G87" s="134" t="n">
        <v>28000</v>
      </c>
      <c r="H87" s="134">
        <f>F87*G87</f>
        <v/>
      </c>
      <c r="I87" s="52" t="inlineStr">
        <is>
          <t>国产（待定）</t>
        </is>
      </c>
      <c r="J87" s="51" t="str"/>
    </row>
    <row r="88">
      <c r="A88" s="52" t="n">
        <v>62</v>
      </c>
      <c r="B88" s="51" t="inlineStr">
        <is>
          <t>配电系统</t>
        </is>
      </c>
      <c r="C88" s="51" t="inlineStr">
        <is>
          <t>电器元件</t>
        </is>
      </c>
      <c r="D88" s="51" t="inlineStr">
        <is>
          <t>正泰</t>
        </is>
      </c>
      <c r="E88" s="52" t="inlineStr">
        <is>
          <t>项</t>
        </is>
      </c>
      <c r="F88" s="133" t="n">
        <v>1</v>
      </c>
      <c r="G88" s="134" t="n">
        <v>7000</v>
      </c>
      <c r="H88" s="134">
        <f>F88*G88</f>
        <v/>
      </c>
      <c r="I88" s="52" t="inlineStr">
        <is>
          <t>正泰（国产）</t>
        </is>
      </c>
      <c r="J88" s="51" t="inlineStr">
        <is>
          <t>原清单未标注单位及数量，按成套配置计</t>
        </is>
      </c>
    </row>
    <row r="89">
      <c r="A89" s="52" t="n">
        <v>63</v>
      </c>
      <c r="B89" s="51" t="inlineStr">
        <is>
          <t>配电系统</t>
        </is>
      </c>
      <c r="C89" s="51" t="inlineStr">
        <is>
          <t>电线电缆</t>
        </is>
      </c>
      <c r="D89" s="51" t="str"/>
      <c r="E89" s="52" t="inlineStr">
        <is>
          <t>项</t>
        </is>
      </c>
      <c r="F89" s="133" t="n">
        <v>1</v>
      </c>
      <c r="G89" s="134" t="n">
        <v>8500</v>
      </c>
      <c r="H89" s="134">
        <f>F89*G89</f>
        <v/>
      </c>
      <c r="I89" s="52" t="inlineStr">
        <is>
          <t>国优（国产）</t>
        </is>
      </c>
      <c r="J89" s="51" t="inlineStr">
        <is>
          <t>原清单未标注规格、单位及数量，按成套配置计</t>
        </is>
      </c>
    </row>
    <row r="90">
      <c r="A90" s="52" t="n">
        <v>64</v>
      </c>
      <c r="B90" s="51" t="inlineStr">
        <is>
          <t>配电系统</t>
        </is>
      </c>
      <c r="C90" s="51" t="inlineStr">
        <is>
          <t>电线管</t>
        </is>
      </c>
      <c r="D90" s="51" t="inlineStr">
        <is>
          <t>PVC</t>
        </is>
      </c>
      <c r="E90" s="52" t="inlineStr">
        <is>
          <t>项</t>
        </is>
      </c>
      <c r="F90" s="133" t="n">
        <v>1</v>
      </c>
      <c r="G90" s="134" t="n">
        <v>3200</v>
      </c>
      <c r="H90" s="134">
        <f>F90*G90</f>
        <v/>
      </c>
      <c r="I90" s="52" t="inlineStr">
        <is>
          <t>国产（待定）</t>
        </is>
      </c>
      <c r="J90" s="51" t="inlineStr">
        <is>
          <t>原清单未标注单位及数量，按成套配置计</t>
        </is>
      </c>
    </row>
    <row r="91">
      <c r="A91" s="64" t="inlineStr">
        <is>
          <t>（五）3楼车间新风送风 主设备（编号：3F-送风5）  小计</t>
        </is>
      </c>
      <c r="B91" s="135" t="n"/>
      <c r="C91" s="135" t="n"/>
      <c r="D91" s="135" t="n"/>
      <c r="E91" s="136" t="n"/>
      <c r="F91" s="65" t="n"/>
      <c r="G91" s="65" t="n"/>
      <c r="H91" s="137">
        <f>SUM(H86:H90)</f>
        <v/>
      </c>
      <c r="I91" s="65" t="n"/>
      <c r="J91" s="65" t="n"/>
    </row>
    <row r="92">
      <c r="A92" s="46" t="inlineStr">
        <is>
          <t>（六）1至3楼共用含氰废气抽风 管道系统（编号：（1F-3F）-含氰1）</t>
        </is>
      </c>
    </row>
    <row r="93">
      <c r="A93" s="52" t="n">
        <v>65</v>
      </c>
      <c r="B93" s="51" t="inlineStr">
        <is>
          <t>管道系统</t>
        </is>
      </c>
      <c r="C93" s="51" t="inlineStr">
        <is>
          <t>风管</t>
        </is>
      </c>
      <c r="D93" s="51" t="inlineStr">
        <is>
          <t>尺寸：1000mm</t>
        </is>
      </c>
      <c r="E93" s="52" t="inlineStr">
        <is>
          <t>米</t>
        </is>
      </c>
      <c r="F93" s="133" t="n">
        <v>36</v>
      </c>
      <c r="G93" s="134" t="n">
        <v>720</v>
      </c>
      <c r="H93" s="134">
        <f>F93*G93</f>
        <v/>
      </c>
      <c r="I93" s="52" t="inlineStr">
        <is>
          <t>国产（待定）</t>
        </is>
      </c>
      <c r="J93" s="51" t="inlineStr">
        <is>
          <t>敷设至1-3F管井旁并设阀封闭备用</t>
        </is>
      </c>
    </row>
    <row r="94">
      <c r="A94" s="52" t="n">
        <v>66</v>
      </c>
      <c r="B94" s="51" t="inlineStr">
        <is>
          <t>管道系统</t>
        </is>
      </c>
      <c r="C94" s="51" t="inlineStr">
        <is>
          <t>90°弯头</t>
        </is>
      </c>
      <c r="D94" s="51" t="inlineStr">
        <is>
          <t>尺寸：1000mm</t>
        </is>
      </c>
      <c r="E94" s="52" t="inlineStr">
        <is>
          <t>个</t>
        </is>
      </c>
      <c r="F94" s="133" t="n">
        <v>6</v>
      </c>
      <c r="G94" s="134" t="n">
        <v>1050</v>
      </c>
      <c r="H94" s="134">
        <f>F94*G94</f>
        <v/>
      </c>
      <c r="I94" s="52" t="inlineStr">
        <is>
          <t>国产（待定）</t>
        </is>
      </c>
      <c r="J94" s="51" t="str"/>
    </row>
    <row r="95">
      <c r="A95" s="52" t="n">
        <v>67</v>
      </c>
      <c r="B95" s="51" t="inlineStr">
        <is>
          <t>管道系统</t>
        </is>
      </c>
      <c r="C95" s="51" t="inlineStr">
        <is>
          <t>三通</t>
        </is>
      </c>
      <c r="D95" s="51" t="inlineStr">
        <is>
          <t>尺寸：1000mm*1000mm*1000mm 备注：1-3F,每层设1个</t>
        </is>
      </c>
      <c r="E95" s="52" t="inlineStr">
        <is>
          <t>个</t>
        </is>
      </c>
      <c r="F95" s="133" t="n">
        <v>3</v>
      </c>
      <c r="G95" s="134" t="n">
        <v>2000</v>
      </c>
      <c r="H95" s="134">
        <f>F95*G95</f>
        <v/>
      </c>
      <c r="I95" s="52" t="inlineStr">
        <is>
          <t>国产（待定）</t>
        </is>
      </c>
      <c r="J95" s="51" t="str"/>
    </row>
    <row r="96">
      <c r="A96" s="52" t="n">
        <v>68</v>
      </c>
      <c r="B96" s="51" t="inlineStr">
        <is>
          <t>管道系统</t>
        </is>
      </c>
      <c r="C96" s="51" t="inlineStr">
        <is>
          <t>防火阀</t>
        </is>
      </c>
      <c r="D96" s="51" t="inlineStr">
        <is>
          <t>尺寸：1000mm，材质pp阻燃 备注：1-3F,每层设1个</t>
        </is>
      </c>
      <c r="E96" s="52" t="inlineStr">
        <is>
          <t>个</t>
        </is>
      </c>
      <c r="F96" s="133" t="n">
        <v>3</v>
      </c>
      <c r="G96" s="134" t="n">
        <v>6800</v>
      </c>
      <c r="H96" s="134">
        <f>F96*G96</f>
        <v/>
      </c>
      <c r="I96" s="52" t="inlineStr">
        <is>
          <t>国产（待定）</t>
        </is>
      </c>
      <c r="J96" s="51" t="str"/>
    </row>
    <row r="97">
      <c r="A97" s="52" t="n">
        <v>69</v>
      </c>
      <c r="B97" s="51" t="inlineStr">
        <is>
          <t>管道系统</t>
        </is>
      </c>
      <c r="C97" s="51" t="inlineStr">
        <is>
          <t>风阀</t>
        </is>
      </c>
      <c r="D97" s="51" t="inlineStr">
        <is>
          <t>尺寸：1000mm，材质pp阻燃 备注：1-3F,每层设1个</t>
        </is>
      </c>
      <c r="E97" s="52" t="inlineStr">
        <is>
          <t>个</t>
        </is>
      </c>
      <c r="F97" s="133" t="n">
        <v>3</v>
      </c>
      <c r="G97" s="134" t="n">
        <v>4800</v>
      </c>
      <c r="H97" s="134">
        <f>F97*G97</f>
        <v/>
      </c>
      <c r="I97" s="52" t="inlineStr">
        <is>
          <t>国产（待定）</t>
        </is>
      </c>
      <c r="J97" s="51" t="str"/>
    </row>
    <row r="98">
      <c r="A98" s="52" t="n">
        <v>70</v>
      </c>
      <c r="B98" s="51" t="inlineStr">
        <is>
          <t>管道系统</t>
        </is>
      </c>
      <c r="C98" s="51" t="inlineStr">
        <is>
          <t>风管支架</t>
        </is>
      </c>
      <c r="D98" s="51" t="str"/>
      <c r="E98" s="52" t="inlineStr">
        <is>
          <t>项</t>
        </is>
      </c>
      <c r="F98" s="133" t="n">
        <v>1</v>
      </c>
      <c r="G98" s="134" t="n">
        <v>15000</v>
      </c>
      <c r="H98" s="134">
        <f>F98*G98</f>
        <v/>
      </c>
      <c r="I98" s="52" t="inlineStr">
        <is>
          <t>国产（待定）</t>
        </is>
      </c>
      <c r="J98" s="51" t="str"/>
    </row>
    <row r="99">
      <c r="A99" s="64" t="inlineStr">
        <is>
          <t>（六）1至3楼共用含氰废气抽风 管道系统（编号：（1F-3F）-含氰1）  小计</t>
        </is>
      </c>
      <c r="B99" s="135" t="n"/>
      <c r="C99" s="135" t="n"/>
      <c r="D99" s="135" t="n"/>
      <c r="E99" s="136" t="n"/>
      <c r="F99" s="65" t="n"/>
      <c r="G99" s="65" t="n"/>
      <c r="H99" s="137">
        <f>SUM(H93:H98)</f>
        <v/>
      </c>
      <c r="I99" s="65" t="n"/>
      <c r="J99" s="65" t="n"/>
    </row>
    <row r="100">
      <c r="A100" s="46" t="inlineStr">
        <is>
          <t>（七）1楼车间废气抽风 管道系统（编号：1F-酸碱1）</t>
        </is>
      </c>
    </row>
    <row r="101">
      <c r="A101" s="52" t="n">
        <v>71</v>
      </c>
      <c r="B101" s="51" t="inlineStr">
        <is>
          <t>管道系统</t>
        </is>
      </c>
      <c r="C101" s="51" t="inlineStr">
        <is>
          <t>风管</t>
        </is>
      </c>
      <c r="D101" s="51" t="inlineStr">
        <is>
          <t>尺寸：1350mm</t>
        </is>
      </c>
      <c r="E101" s="52" t="inlineStr">
        <is>
          <t>米</t>
        </is>
      </c>
      <c r="F101" s="133" t="n">
        <v>36</v>
      </c>
      <c r="G101" s="134" t="n">
        <v>750</v>
      </c>
      <c r="H101" s="134">
        <f>F101*G101</f>
        <v/>
      </c>
      <c r="I101" s="52" t="inlineStr">
        <is>
          <t>国产（待定）</t>
        </is>
      </c>
      <c r="J101" s="51" t="inlineStr">
        <is>
          <t>敷设至管井旁，阀后封闭备用</t>
        </is>
      </c>
    </row>
    <row r="102">
      <c r="A102" s="52" t="n">
        <v>72</v>
      </c>
      <c r="B102" s="51" t="inlineStr">
        <is>
          <t>管道系统</t>
        </is>
      </c>
      <c r="C102" s="51" t="inlineStr">
        <is>
          <t>90°弯头</t>
        </is>
      </c>
      <c r="D102" s="51" t="inlineStr">
        <is>
          <t>尺寸：1350mm</t>
        </is>
      </c>
      <c r="E102" s="52" t="inlineStr">
        <is>
          <t>个</t>
        </is>
      </c>
      <c r="F102" s="133" t="n">
        <v>6</v>
      </c>
      <c r="G102" s="134" t="n">
        <v>1100</v>
      </c>
      <c r="H102" s="134">
        <f>F102*G102</f>
        <v/>
      </c>
      <c r="I102" s="52" t="inlineStr">
        <is>
          <t>国产（待定）</t>
        </is>
      </c>
      <c r="J102" s="51" t="str"/>
    </row>
    <row r="103">
      <c r="A103" s="52" t="n">
        <v>73</v>
      </c>
      <c r="B103" s="51" t="inlineStr">
        <is>
          <t>管道系统</t>
        </is>
      </c>
      <c r="C103" s="51" t="inlineStr">
        <is>
          <t>防火阀</t>
        </is>
      </c>
      <c r="D103" s="51" t="inlineStr">
        <is>
          <t>尺寸：1350mm，材质pp阻燃</t>
        </is>
      </c>
      <c r="E103" s="52" t="inlineStr">
        <is>
          <t>个</t>
        </is>
      </c>
      <c r="F103" s="133" t="n">
        <v>1</v>
      </c>
      <c r="G103" s="134" t="n">
        <v>6600</v>
      </c>
      <c r="H103" s="134">
        <f>F103*G103</f>
        <v/>
      </c>
      <c r="I103" s="52" t="inlineStr">
        <is>
          <t>国产（待定）</t>
        </is>
      </c>
      <c r="J103" s="51" t="str"/>
    </row>
    <row r="104">
      <c r="A104" s="52" t="n">
        <v>74</v>
      </c>
      <c r="B104" s="51" t="inlineStr">
        <is>
          <t>管道系统</t>
        </is>
      </c>
      <c r="C104" s="51" t="inlineStr">
        <is>
          <t>风阀</t>
        </is>
      </c>
      <c r="D104" s="51" t="inlineStr">
        <is>
          <t>尺寸：1350mm，材质pp阻燃</t>
        </is>
      </c>
      <c r="E104" s="52" t="inlineStr">
        <is>
          <t>个</t>
        </is>
      </c>
      <c r="F104" s="133" t="n">
        <v>1</v>
      </c>
      <c r="G104" s="134" t="n">
        <v>5000</v>
      </c>
      <c r="H104" s="134">
        <f>F104*G104</f>
        <v/>
      </c>
      <c r="I104" s="52" t="inlineStr">
        <is>
          <t>国产（待定）</t>
        </is>
      </c>
      <c r="J104" s="51" t="str"/>
    </row>
    <row r="105">
      <c r="A105" s="52" t="n">
        <v>75</v>
      </c>
      <c r="B105" s="51" t="inlineStr">
        <is>
          <t>管道系统</t>
        </is>
      </c>
      <c r="C105" s="51" t="inlineStr">
        <is>
          <t>风管支架</t>
        </is>
      </c>
      <c r="D105" s="51" t="str"/>
      <c r="E105" s="52" t="inlineStr">
        <is>
          <t>项</t>
        </is>
      </c>
      <c r="F105" s="133" t="n">
        <v>1</v>
      </c>
      <c r="G105" s="134" t="n">
        <v>16000</v>
      </c>
      <c r="H105" s="134">
        <f>F105*G105</f>
        <v/>
      </c>
      <c r="I105" s="52" t="inlineStr">
        <is>
          <t>国产（待定）</t>
        </is>
      </c>
      <c r="J105" s="51" t="str"/>
    </row>
    <row r="106">
      <c r="A106" s="64" t="inlineStr">
        <is>
          <t>（七）1楼车间废气抽风 管道系统（编号：1F-酸碱1）  小计</t>
        </is>
      </c>
      <c r="B106" s="135" t="n"/>
      <c r="C106" s="135" t="n"/>
      <c r="D106" s="135" t="n"/>
      <c r="E106" s="136" t="n"/>
      <c r="F106" s="65" t="n"/>
      <c r="G106" s="65" t="n"/>
      <c r="H106" s="137">
        <f>SUM(H101:H105)</f>
        <v/>
      </c>
      <c r="I106" s="65" t="n"/>
      <c r="J106" s="65" t="n"/>
    </row>
    <row r="107">
      <c r="A107" s="46" t="inlineStr">
        <is>
          <t>（八）2楼车间废气抽风 管道系统（编号：2F-酸碱2）</t>
        </is>
      </c>
    </row>
    <row r="108">
      <c r="A108" s="52" t="n">
        <v>76</v>
      </c>
      <c r="B108" s="51" t="inlineStr">
        <is>
          <t>管道系统</t>
        </is>
      </c>
      <c r="C108" s="51" t="inlineStr">
        <is>
          <t>风管</t>
        </is>
      </c>
      <c r="D108" s="51" t="inlineStr">
        <is>
          <t>尺寸：1350mm</t>
        </is>
      </c>
      <c r="E108" s="52" t="inlineStr">
        <is>
          <t>米</t>
        </is>
      </c>
      <c r="F108" s="133" t="n">
        <v>30</v>
      </c>
      <c r="G108" s="134" t="n">
        <v>750</v>
      </c>
      <c r="H108" s="134">
        <f>F108*G108</f>
        <v/>
      </c>
      <c r="I108" s="52" t="inlineStr">
        <is>
          <t>国产（待定）</t>
        </is>
      </c>
      <c r="J108" s="51" t="inlineStr">
        <is>
          <t>敷设至管井旁，阀后封闭备用</t>
        </is>
      </c>
    </row>
    <row r="109">
      <c r="A109" s="52" t="n">
        <v>77</v>
      </c>
      <c r="B109" s="51" t="inlineStr">
        <is>
          <t>管道系统</t>
        </is>
      </c>
      <c r="C109" s="51" t="inlineStr">
        <is>
          <t>90°弯头</t>
        </is>
      </c>
      <c r="D109" s="51" t="inlineStr">
        <is>
          <t>尺寸：1350mm</t>
        </is>
      </c>
      <c r="E109" s="52" t="inlineStr">
        <is>
          <t>个</t>
        </is>
      </c>
      <c r="F109" s="133" t="n">
        <v>6</v>
      </c>
      <c r="G109" s="134" t="n">
        <v>1100</v>
      </c>
      <c r="H109" s="134">
        <f>F109*G109</f>
        <v/>
      </c>
      <c r="I109" s="52" t="inlineStr">
        <is>
          <t>国产（待定）</t>
        </is>
      </c>
      <c r="J109" s="51" t="str"/>
    </row>
    <row r="110">
      <c r="A110" s="52" t="n">
        <v>78</v>
      </c>
      <c r="B110" s="51" t="inlineStr">
        <is>
          <t>管道系统</t>
        </is>
      </c>
      <c r="C110" s="51" t="inlineStr">
        <is>
          <t>防火阀</t>
        </is>
      </c>
      <c r="D110" s="51" t="inlineStr">
        <is>
          <t>尺寸：1350mm，材质pp阻燃</t>
        </is>
      </c>
      <c r="E110" s="52" t="inlineStr">
        <is>
          <t>个</t>
        </is>
      </c>
      <c r="F110" s="133" t="n">
        <v>1</v>
      </c>
      <c r="G110" s="134" t="n">
        <v>6600</v>
      </c>
      <c r="H110" s="134">
        <f>F110*G110</f>
        <v/>
      </c>
      <c r="I110" s="52" t="inlineStr">
        <is>
          <t>国产（待定）</t>
        </is>
      </c>
      <c r="J110" s="51" t="str"/>
    </row>
    <row r="111">
      <c r="A111" s="52" t="n">
        <v>79</v>
      </c>
      <c r="B111" s="51" t="inlineStr">
        <is>
          <t>管道系统</t>
        </is>
      </c>
      <c r="C111" s="51" t="inlineStr">
        <is>
          <t>风阀</t>
        </is>
      </c>
      <c r="D111" s="51" t="inlineStr">
        <is>
          <t>尺寸：1350mm，材质pp阻燃</t>
        </is>
      </c>
      <c r="E111" s="52" t="inlineStr">
        <is>
          <t>个</t>
        </is>
      </c>
      <c r="F111" s="133" t="n">
        <v>1</v>
      </c>
      <c r="G111" s="134" t="n">
        <v>5000</v>
      </c>
      <c r="H111" s="134">
        <f>F111*G111</f>
        <v/>
      </c>
      <c r="I111" s="52" t="inlineStr">
        <is>
          <t>国产（待定）</t>
        </is>
      </c>
      <c r="J111" s="51" t="str"/>
    </row>
    <row r="112">
      <c r="A112" s="52" t="n">
        <v>80</v>
      </c>
      <c r="B112" s="51" t="inlineStr">
        <is>
          <t>管道系统</t>
        </is>
      </c>
      <c r="C112" s="51" t="inlineStr">
        <is>
          <t>风管支架</t>
        </is>
      </c>
      <c r="D112" s="51" t="str"/>
      <c r="E112" s="52" t="inlineStr">
        <is>
          <t>项</t>
        </is>
      </c>
      <c r="F112" s="133" t="n">
        <v>1</v>
      </c>
      <c r="G112" s="134" t="n">
        <v>16000</v>
      </c>
      <c r="H112" s="134">
        <f>F112*G112</f>
        <v/>
      </c>
      <c r="I112" s="52" t="inlineStr">
        <is>
          <t>国产（待定）</t>
        </is>
      </c>
      <c r="J112" s="51" t="str"/>
    </row>
    <row r="113">
      <c r="A113" s="64" t="inlineStr">
        <is>
          <t>（八）2楼车间废气抽风 管道系统（编号：2F-酸碱2）  小计</t>
        </is>
      </c>
      <c r="B113" s="135" t="n"/>
      <c r="C113" s="135" t="n"/>
      <c r="D113" s="135" t="n"/>
      <c r="E113" s="136" t="n"/>
      <c r="F113" s="65" t="n"/>
      <c r="G113" s="65" t="n"/>
      <c r="H113" s="137">
        <f>SUM(H108:H112)</f>
        <v/>
      </c>
      <c r="I113" s="65" t="n"/>
      <c r="J113" s="65" t="n"/>
    </row>
    <row r="114">
      <c r="A114" s="46" t="inlineStr">
        <is>
          <t>（九）2楼车间废气抽风 管道系统（编号：2F-酸碱3）</t>
        </is>
      </c>
    </row>
    <row r="115">
      <c r="A115" s="52" t="n">
        <v>81</v>
      </c>
      <c r="B115" s="51" t="inlineStr">
        <is>
          <t>管道系统</t>
        </is>
      </c>
      <c r="C115" s="51" t="inlineStr">
        <is>
          <t>风管</t>
        </is>
      </c>
      <c r="D115" s="51" t="inlineStr">
        <is>
          <t>尺寸：1350mm</t>
        </is>
      </c>
      <c r="E115" s="52" t="inlineStr">
        <is>
          <t>米</t>
        </is>
      </c>
      <c r="F115" s="133" t="n">
        <v>30</v>
      </c>
      <c r="G115" s="134" t="n">
        <v>750</v>
      </c>
      <c r="H115" s="134">
        <f>F115*G115</f>
        <v/>
      </c>
      <c r="I115" s="52" t="inlineStr">
        <is>
          <t>国产（待定）</t>
        </is>
      </c>
      <c r="J115" s="51" t="inlineStr">
        <is>
          <t>敷设至管井旁，阀后封闭备用</t>
        </is>
      </c>
    </row>
    <row r="116">
      <c r="A116" s="52" t="n">
        <v>82</v>
      </c>
      <c r="B116" s="51" t="inlineStr">
        <is>
          <t>管道系统</t>
        </is>
      </c>
      <c r="C116" s="51" t="inlineStr">
        <is>
          <t>90°弯头</t>
        </is>
      </c>
      <c r="D116" s="51" t="inlineStr">
        <is>
          <t>尺寸：1350mm</t>
        </is>
      </c>
      <c r="E116" s="52" t="inlineStr">
        <is>
          <t>个</t>
        </is>
      </c>
      <c r="F116" s="133" t="n">
        <v>6</v>
      </c>
      <c r="G116" s="134" t="n">
        <v>1100</v>
      </c>
      <c r="H116" s="134">
        <f>F116*G116</f>
        <v/>
      </c>
      <c r="I116" s="52" t="inlineStr">
        <is>
          <t>国产（待定）</t>
        </is>
      </c>
      <c r="J116" s="51" t="str"/>
    </row>
    <row r="117">
      <c r="A117" s="52" t="n">
        <v>83</v>
      </c>
      <c r="B117" s="51" t="inlineStr">
        <is>
          <t>管道系统</t>
        </is>
      </c>
      <c r="C117" s="51" t="inlineStr">
        <is>
          <t>防火阀</t>
        </is>
      </c>
      <c r="D117" s="51" t="inlineStr">
        <is>
          <t>尺寸：1350mm，材质pp阻燃</t>
        </is>
      </c>
      <c r="E117" s="52" t="inlineStr">
        <is>
          <t>个</t>
        </is>
      </c>
      <c r="F117" s="133" t="n">
        <v>1</v>
      </c>
      <c r="G117" s="134" t="n">
        <v>6600</v>
      </c>
      <c r="H117" s="134">
        <f>F117*G117</f>
        <v/>
      </c>
      <c r="I117" s="52" t="inlineStr">
        <is>
          <t>国产（待定）</t>
        </is>
      </c>
      <c r="J117" s="51" t="str"/>
    </row>
    <row r="118">
      <c r="A118" s="52" t="n">
        <v>84</v>
      </c>
      <c r="B118" s="51" t="inlineStr">
        <is>
          <t>管道系统</t>
        </is>
      </c>
      <c r="C118" s="51" t="inlineStr">
        <is>
          <t>风阀</t>
        </is>
      </c>
      <c r="D118" s="51" t="inlineStr">
        <is>
          <t>尺寸：1350mm，材质pp阻燃</t>
        </is>
      </c>
      <c r="E118" s="52" t="inlineStr">
        <is>
          <t>个</t>
        </is>
      </c>
      <c r="F118" s="133" t="n">
        <v>1</v>
      </c>
      <c r="G118" s="134" t="n">
        <v>5000</v>
      </c>
      <c r="H118" s="134">
        <f>F118*G118</f>
        <v/>
      </c>
      <c r="I118" s="52" t="inlineStr">
        <is>
          <t>国产（待定）</t>
        </is>
      </c>
      <c r="J118" s="51" t="str"/>
    </row>
    <row r="119">
      <c r="A119" s="52" t="n">
        <v>85</v>
      </c>
      <c r="B119" s="51" t="inlineStr">
        <is>
          <t>管道系统</t>
        </is>
      </c>
      <c r="C119" s="51" t="inlineStr">
        <is>
          <t>风管支架</t>
        </is>
      </c>
      <c r="D119" s="51" t="str"/>
      <c r="E119" s="52" t="inlineStr">
        <is>
          <t>项</t>
        </is>
      </c>
      <c r="F119" s="133" t="n">
        <v>1</v>
      </c>
      <c r="G119" s="134" t="n">
        <v>16000</v>
      </c>
      <c r="H119" s="134">
        <f>F119*G119</f>
        <v/>
      </c>
      <c r="I119" s="52" t="inlineStr">
        <is>
          <t>国产（待定）</t>
        </is>
      </c>
      <c r="J119" s="51" t="str"/>
    </row>
    <row r="120">
      <c r="A120" s="64" t="inlineStr">
        <is>
          <t>（九）2楼车间废气抽风 管道系统（编号：2F-酸碱3）  小计</t>
        </is>
      </c>
      <c r="B120" s="135" t="n"/>
      <c r="C120" s="135" t="n"/>
      <c r="D120" s="135" t="n"/>
      <c r="E120" s="136" t="n"/>
      <c r="F120" s="65" t="n"/>
      <c r="G120" s="65" t="n"/>
      <c r="H120" s="137">
        <f>SUM(H115:H119)</f>
        <v/>
      </c>
      <c r="I120" s="65" t="n"/>
      <c r="J120" s="65" t="n"/>
    </row>
    <row r="121">
      <c r="A121" s="46" t="inlineStr">
        <is>
          <t>（十）3楼车间废气抽风 管道系统（编号：3F-酸碱4）</t>
        </is>
      </c>
    </row>
    <row r="122">
      <c r="A122" s="52" t="n">
        <v>86</v>
      </c>
      <c r="B122" s="51" t="inlineStr">
        <is>
          <t>管道系统</t>
        </is>
      </c>
      <c r="C122" s="51" t="inlineStr">
        <is>
          <t>风管</t>
        </is>
      </c>
      <c r="D122" s="51" t="inlineStr">
        <is>
          <t>尺寸：1350mm</t>
        </is>
      </c>
      <c r="E122" s="52" t="inlineStr">
        <is>
          <t>米</t>
        </is>
      </c>
      <c r="F122" s="133" t="n">
        <v>96</v>
      </c>
      <c r="G122" s="134" t="n">
        <v>780</v>
      </c>
      <c r="H122" s="134">
        <f>F122*G122</f>
        <v/>
      </c>
      <c r="I122" s="52" t="inlineStr">
        <is>
          <t>国产（待定）</t>
        </is>
      </c>
      <c r="J122" s="51" t="inlineStr">
        <is>
          <t>敷设至三楼生产线端面</t>
        </is>
      </c>
    </row>
    <row r="123">
      <c r="A123" s="52" t="n">
        <v>87</v>
      </c>
      <c r="B123" s="51" t="inlineStr">
        <is>
          <t>管道系统</t>
        </is>
      </c>
      <c r="C123" s="51" t="inlineStr">
        <is>
          <t>90°弯头</t>
        </is>
      </c>
      <c r="D123" s="51" t="inlineStr">
        <is>
          <t>尺寸：1350mm</t>
        </is>
      </c>
      <c r="E123" s="52" t="inlineStr">
        <is>
          <t>个</t>
        </is>
      </c>
      <c r="F123" s="133" t="n">
        <v>6</v>
      </c>
      <c r="G123" s="134" t="n">
        <v>1200</v>
      </c>
      <c r="H123" s="134">
        <f>F123*G123</f>
        <v/>
      </c>
      <c r="I123" s="52" t="inlineStr">
        <is>
          <t>国产（待定）</t>
        </is>
      </c>
      <c r="J123" s="51" t="str"/>
    </row>
    <row r="124">
      <c r="A124" s="52" t="n">
        <v>88</v>
      </c>
      <c r="B124" s="51" t="inlineStr">
        <is>
          <t>管道系统</t>
        </is>
      </c>
      <c r="C124" s="51" t="inlineStr">
        <is>
          <t>防火阀</t>
        </is>
      </c>
      <c r="D124" s="51" t="inlineStr">
        <is>
          <t>尺寸：1350mm，材质pp阻燃</t>
        </is>
      </c>
      <c r="E124" s="52" t="inlineStr">
        <is>
          <t>个</t>
        </is>
      </c>
      <c r="F124" s="133" t="n">
        <v>1</v>
      </c>
      <c r="G124" s="134" t="n">
        <v>7000</v>
      </c>
      <c r="H124" s="134">
        <f>F124*G124</f>
        <v/>
      </c>
      <c r="I124" s="52" t="inlineStr">
        <is>
          <t>国产（待定）</t>
        </is>
      </c>
      <c r="J124" s="51" t="str"/>
    </row>
    <row r="125">
      <c r="A125" s="52" t="n">
        <v>89</v>
      </c>
      <c r="B125" s="51" t="inlineStr">
        <is>
          <t>管道系统</t>
        </is>
      </c>
      <c r="C125" s="51" t="inlineStr">
        <is>
          <t>风阀</t>
        </is>
      </c>
      <c r="D125" s="51" t="inlineStr">
        <is>
          <t>尺寸：1350mm，材质pp阻燃</t>
        </is>
      </c>
      <c r="E125" s="52" t="inlineStr">
        <is>
          <t>个</t>
        </is>
      </c>
      <c r="F125" s="133" t="n">
        <v>1</v>
      </c>
      <c r="G125" s="134" t="n">
        <v>5200</v>
      </c>
      <c r="H125" s="134">
        <f>F125*G125</f>
        <v/>
      </c>
      <c r="I125" s="52" t="inlineStr">
        <is>
          <t>国产（待定）</t>
        </is>
      </c>
      <c r="J125" s="51" t="str"/>
    </row>
    <row r="126">
      <c r="A126" s="52" t="n">
        <v>90</v>
      </c>
      <c r="B126" s="51" t="inlineStr">
        <is>
          <t>管道系统</t>
        </is>
      </c>
      <c r="C126" s="51" t="inlineStr">
        <is>
          <t>风管支架</t>
        </is>
      </c>
      <c r="D126" s="51" t="str"/>
      <c r="E126" s="52" t="inlineStr">
        <is>
          <t>项</t>
        </is>
      </c>
      <c r="F126" s="133" t="n">
        <v>1</v>
      </c>
      <c r="G126" s="134" t="n">
        <v>17500</v>
      </c>
      <c r="H126" s="134">
        <f>F126*G126</f>
        <v/>
      </c>
      <c r="I126" s="52" t="inlineStr">
        <is>
          <t>国产（待定）</t>
        </is>
      </c>
      <c r="J126" s="51" t="str"/>
    </row>
    <row r="127">
      <c r="A127" s="52" t="n">
        <v>91</v>
      </c>
      <c r="B127" s="51" t="inlineStr">
        <is>
          <t>车间干管支撑架</t>
        </is>
      </c>
      <c r="C127" s="51" t="inlineStr">
        <is>
          <t>干管支撑架</t>
        </is>
      </c>
      <c r="D127" s="51" t="str"/>
      <c r="E127" s="52" t="inlineStr">
        <is>
          <t>项</t>
        </is>
      </c>
      <c r="F127" s="133" t="n">
        <v>1</v>
      </c>
      <c r="G127" s="134" t="n">
        <v>35000</v>
      </c>
      <c r="H127" s="134">
        <f>F127*G127</f>
        <v/>
      </c>
      <c r="I127" s="52" t="inlineStr">
        <is>
          <t>国产（待定）</t>
        </is>
      </c>
      <c r="J127" s="51" t="str"/>
    </row>
    <row r="128">
      <c r="A128" s="64" t="inlineStr">
        <is>
          <t>（十）3楼车间废气抽风 管道系统（编号：3F-酸碱4）  小计</t>
        </is>
      </c>
      <c r="B128" s="135" t="n"/>
      <c r="C128" s="135" t="n"/>
      <c r="D128" s="135" t="n"/>
      <c r="E128" s="136" t="n"/>
      <c r="F128" s="65" t="n"/>
      <c r="G128" s="65" t="n"/>
      <c r="H128" s="137">
        <f>SUM(H122:H127)</f>
        <v/>
      </c>
      <c r="I128" s="65" t="n"/>
      <c r="J128" s="65" t="n"/>
    </row>
    <row r="129">
      <c r="A129" s="46" t="inlineStr">
        <is>
          <t>（十一）3楼车间废气抽风 管道系统（编号：3F-酸碱5）</t>
        </is>
      </c>
    </row>
    <row r="130">
      <c r="A130" s="52" t="n">
        <v>92</v>
      </c>
      <c r="B130" s="51" t="inlineStr">
        <is>
          <t>管道系统</t>
        </is>
      </c>
      <c r="C130" s="51" t="inlineStr">
        <is>
          <t>风管</t>
        </is>
      </c>
      <c r="D130" s="51" t="inlineStr">
        <is>
          <t>尺寸：1350mm</t>
        </is>
      </c>
      <c r="E130" s="52" t="inlineStr">
        <is>
          <t>米</t>
        </is>
      </c>
      <c r="F130" s="133" t="n">
        <v>108</v>
      </c>
      <c r="G130" s="134" t="n">
        <v>780</v>
      </c>
      <c r="H130" s="134">
        <f>F130*G130</f>
        <v/>
      </c>
      <c r="I130" s="52" t="inlineStr">
        <is>
          <t>国产（待定）</t>
        </is>
      </c>
      <c r="J130" s="51" t="inlineStr">
        <is>
          <t>敷设至三楼生产线端面</t>
        </is>
      </c>
    </row>
    <row r="131">
      <c r="A131" s="52" t="n">
        <v>93</v>
      </c>
      <c r="B131" s="51" t="inlineStr">
        <is>
          <t>管道系统</t>
        </is>
      </c>
      <c r="C131" s="51" t="inlineStr">
        <is>
          <t>90°弯头</t>
        </is>
      </c>
      <c r="D131" s="51" t="inlineStr">
        <is>
          <t>尺寸：1350mm</t>
        </is>
      </c>
      <c r="E131" s="52" t="inlineStr">
        <is>
          <t>个</t>
        </is>
      </c>
      <c r="F131" s="133" t="n">
        <v>8</v>
      </c>
      <c r="G131" s="134" t="n">
        <v>1200</v>
      </c>
      <c r="H131" s="134">
        <f>F131*G131</f>
        <v/>
      </c>
      <c r="I131" s="52" t="inlineStr">
        <is>
          <t>国产（待定）</t>
        </is>
      </c>
      <c r="J131" s="51" t="str"/>
    </row>
    <row r="132">
      <c r="A132" s="52" t="n">
        <v>94</v>
      </c>
      <c r="B132" s="51" t="inlineStr">
        <is>
          <t>管道系统</t>
        </is>
      </c>
      <c r="C132" s="51" t="inlineStr">
        <is>
          <t>防火阀</t>
        </is>
      </c>
      <c r="D132" s="51" t="inlineStr">
        <is>
          <t>尺寸：1350mm，材质pp阻燃</t>
        </is>
      </c>
      <c r="E132" s="52" t="inlineStr">
        <is>
          <t>个</t>
        </is>
      </c>
      <c r="F132" s="133" t="n">
        <v>1</v>
      </c>
      <c r="G132" s="134" t="n">
        <v>7000</v>
      </c>
      <c r="H132" s="134">
        <f>F132*G132</f>
        <v/>
      </c>
      <c r="I132" s="52" t="inlineStr">
        <is>
          <t>国产（待定）</t>
        </is>
      </c>
      <c r="J132" s="51" t="str"/>
    </row>
    <row r="133">
      <c r="A133" s="52" t="n">
        <v>95</v>
      </c>
      <c r="B133" s="51" t="inlineStr">
        <is>
          <t>管道系统</t>
        </is>
      </c>
      <c r="C133" s="51" t="inlineStr">
        <is>
          <t>风阀</t>
        </is>
      </c>
      <c r="D133" s="51" t="inlineStr">
        <is>
          <t>尺寸：1350mm，材质pp阻燃</t>
        </is>
      </c>
      <c r="E133" s="52" t="inlineStr">
        <is>
          <t>个</t>
        </is>
      </c>
      <c r="F133" s="133" t="n">
        <v>1</v>
      </c>
      <c r="G133" s="134" t="n">
        <v>5200</v>
      </c>
      <c r="H133" s="134">
        <f>F133*G133</f>
        <v/>
      </c>
      <c r="I133" s="52" t="inlineStr">
        <is>
          <t>国产（待定）</t>
        </is>
      </c>
      <c r="J133" s="51" t="str"/>
    </row>
    <row r="134">
      <c r="A134" s="52" t="n">
        <v>96</v>
      </c>
      <c r="B134" s="51" t="inlineStr">
        <is>
          <t>管道系统</t>
        </is>
      </c>
      <c r="C134" s="51" t="inlineStr">
        <is>
          <t>风管支架</t>
        </is>
      </c>
      <c r="D134" s="51" t="str"/>
      <c r="E134" s="52" t="inlineStr">
        <is>
          <t>项</t>
        </is>
      </c>
      <c r="F134" s="133" t="n">
        <v>1</v>
      </c>
      <c r="G134" s="134" t="n">
        <v>18500</v>
      </c>
      <c r="H134" s="134">
        <f>F134*G134</f>
        <v/>
      </c>
      <c r="I134" s="52" t="inlineStr">
        <is>
          <t>国产（待定）</t>
        </is>
      </c>
      <c r="J134" s="51" t="str"/>
    </row>
    <row r="135">
      <c r="A135" s="52" t="n">
        <v>97</v>
      </c>
      <c r="B135" s="51" t="inlineStr">
        <is>
          <t>车间干管支撑架</t>
        </is>
      </c>
      <c r="C135" s="51" t="inlineStr">
        <is>
          <t>干管支撑架</t>
        </is>
      </c>
      <c r="D135" s="51" t="str"/>
      <c r="E135" s="52" t="inlineStr">
        <is>
          <t>项</t>
        </is>
      </c>
      <c r="F135" s="133" t="n">
        <v>1</v>
      </c>
      <c r="G135" s="134" t="n">
        <v>38000</v>
      </c>
      <c r="H135" s="134">
        <f>F135*G135</f>
        <v/>
      </c>
      <c r="I135" s="52" t="inlineStr">
        <is>
          <t>国产（待定）</t>
        </is>
      </c>
      <c r="J135" s="51" t="str"/>
    </row>
    <row r="136">
      <c r="A136" s="64" t="inlineStr">
        <is>
          <t>（十一）3楼车间废气抽风 管道系统（编号：3F-酸碱5）  小计</t>
        </is>
      </c>
      <c r="B136" s="135" t="n"/>
      <c r="C136" s="135" t="n"/>
      <c r="D136" s="135" t="n"/>
      <c r="E136" s="136" t="n"/>
      <c r="F136" s="65" t="n"/>
      <c r="G136" s="65" t="n"/>
      <c r="H136" s="137">
        <f>SUM(H130:H135)</f>
        <v/>
      </c>
      <c r="I136" s="65" t="n"/>
      <c r="J136" s="65" t="n"/>
    </row>
    <row r="137">
      <c r="A137" s="46" t="inlineStr">
        <is>
          <t>（十二）1楼车间新风送风 管道系统（编号：1F-送风1）</t>
        </is>
      </c>
    </row>
    <row r="138">
      <c r="A138" s="52" t="n">
        <v>98</v>
      </c>
      <c r="B138" s="51" t="inlineStr">
        <is>
          <t>管道送风系统</t>
        </is>
      </c>
      <c r="C138" s="51" t="inlineStr">
        <is>
          <t>送风主管</t>
        </is>
      </c>
      <c r="D138" s="51" t="inlineStr">
        <is>
          <t>□1100×1100</t>
        </is>
      </c>
      <c r="E138" s="52" t="inlineStr">
        <is>
          <t>米</t>
        </is>
      </c>
      <c r="F138" s="133" t="n">
        <v>36</v>
      </c>
      <c r="G138" s="134" t="n">
        <v>660</v>
      </c>
      <c r="H138" s="134">
        <f>F138*G138</f>
        <v/>
      </c>
      <c r="I138" s="52" t="inlineStr">
        <is>
          <t>国产（待定）</t>
        </is>
      </c>
      <c r="J138" s="51" t="inlineStr">
        <is>
          <t>敷设至管井旁，阀后封闭备用</t>
        </is>
      </c>
    </row>
    <row r="139">
      <c r="A139" s="52" t="n">
        <v>99</v>
      </c>
      <c r="B139" s="51" t="inlineStr">
        <is>
          <t>管道送风系统</t>
        </is>
      </c>
      <c r="C139" s="51" t="inlineStr">
        <is>
          <t>90°弯头</t>
        </is>
      </c>
      <c r="D139" s="51" t="inlineStr">
        <is>
          <t>□1100×1100</t>
        </is>
      </c>
      <c r="E139" s="52" t="inlineStr">
        <is>
          <t>个</t>
        </is>
      </c>
      <c r="F139" s="133" t="n">
        <v>6</v>
      </c>
      <c r="G139" s="134" t="n">
        <v>1000</v>
      </c>
      <c r="H139" s="134">
        <f>F139*G139</f>
        <v/>
      </c>
      <c r="I139" s="52" t="inlineStr">
        <is>
          <t>国产（待定）</t>
        </is>
      </c>
      <c r="J139" s="51" t="str"/>
    </row>
    <row r="140">
      <c r="A140" s="52" t="n">
        <v>100</v>
      </c>
      <c r="B140" s="51" t="inlineStr">
        <is>
          <t>管道送风系统</t>
        </is>
      </c>
      <c r="C140" s="51" t="inlineStr">
        <is>
          <t>风阀</t>
        </is>
      </c>
      <c r="D140" s="51" t="inlineStr">
        <is>
          <t>□1100×1100，材质pp阻燃</t>
        </is>
      </c>
      <c r="E140" s="52" t="inlineStr">
        <is>
          <t>个</t>
        </is>
      </c>
      <c r="F140" s="133" t="n">
        <v>1</v>
      </c>
      <c r="G140" s="134" t="n">
        <v>5000</v>
      </c>
      <c r="H140" s="134">
        <f>F140*G140</f>
        <v/>
      </c>
      <c r="I140" s="52" t="inlineStr">
        <is>
          <t>国产（待定）</t>
        </is>
      </c>
      <c r="J140" s="51" t="str"/>
    </row>
    <row r="141">
      <c r="A141" s="52" t="n">
        <v>101</v>
      </c>
      <c r="B141" s="51" t="inlineStr">
        <is>
          <t>风管支架</t>
        </is>
      </c>
      <c r="C141" s="51" t="inlineStr">
        <is>
          <t>风管支架</t>
        </is>
      </c>
      <c r="D141" s="51" t="str"/>
      <c r="E141" s="52" t="inlineStr">
        <is>
          <t>项</t>
        </is>
      </c>
      <c r="F141" s="133" t="n">
        <v>1</v>
      </c>
      <c r="G141" s="134" t="n">
        <v>4800</v>
      </c>
      <c r="H141" s="134">
        <f>F141*G141</f>
        <v/>
      </c>
      <c r="I141" s="52" t="inlineStr">
        <is>
          <t>国产（待定）</t>
        </is>
      </c>
      <c r="J141" s="51" t="str"/>
    </row>
    <row r="142">
      <c r="A142" s="64" t="inlineStr">
        <is>
          <t>（十二）1楼车间新风送风 管道系统（编号：1F-送风1）  小计</t>
        </is>
      </c>
      <c r="B142" s="135" t="n"/>
      <c r="C142" s="135" t="n"/>
      <c r="D142" s="135" t="n"/>
      <c r="E142" s="136" t="n"/>
      <c r="F142" s="65" t="n"/>
      <c r="G142" s="65" t="n"/>
      <c r="H142" s="137">
        <f>SUM(H138:H141)</f>
        <v/>
      </c>
      <c r="I142" s="65" t="n"/>
      <c r="J142" s="65" t="n"/>
    </row>
    <row r="143">
      <c r="A143" s="46" t="inlineStr">
        <is>
          <t>（十三）2楼车间新风送风 管道系统（编号：2F-送风2）</t>
        </is>
      </c>
    </row>
    <row r="144">
      <c r="A144" s="52" t="n">
        <v>102</v>
      </c>
      <c r="B144" s="51" t="inlineStr">
        <is>
          <t>管道送风系统</t>
        </is>
      </c>
      <c r="C144" s="51" t="inlineStr">
        <is>
          <t>送风主管</t>
        </is>
      </c>
      <c r="D144" s="51" t="inlineStr">
        <is>
          <t>□1100×1100</t>
        </is>
      </c>
      <c r="E144" s="52" t="inlineStr">
        <is>
          <t>米</t>
        </is>
      </c>
      <c r="F144" s="133" t="n">
        <v>24</v>
      </c>
      <c r="G144" s="134" t="n">
        <v>660</v>
      </c>
      <c r="H144" s="134">
        <f>F144*G144</f>
        <v/>
      </c>
      <c r="I144" s="52" t="inlineStr">
        <is>
          <t>国产（待定）</t>
        </is>
      </c>
      <c r="J144" s="51" t="inlineStr">
        <is>
          <t>敷设至管井旁，阀后封闭备用</t>
        </is>
      </c>
    </row>
    <row r="145">
      <c r="A145" s="52" t="n">
        <v>103</v>
      </c>
      <c r="B145" s="51" t="inlineStr">
        <is>
          <t>管道送风系统</t>
        </is>
      </c>
      <c r="C145" s="51" t="inlineStr">
        <is>
          <t>90°弯头</t>
        </is>
      </c>
      <c r="D145" s="51" t="inlineStr">
        <is>
          <t>□1100×1100</t>
        </is>
      </c>
      <c r="E145" s="52" t="inlineStr">
        <is>
          <t>个</t>
        </is>
      </c>
      <c r="F145" s="133" t="n">
        <v>6</v>
      </c>
      <c r="G145" s="134" t="n">
        <v>1000</v>
      </c>
      <c r="H145" s="134">
        <f>F145*G145</f>
        <v/>
      </c>
      <c r="I145" s="52" t="inlineStr">
        <is>
          <t>国产（待定）</t>
        </is>
      </c>
      <c r="J145" s="51" t="str"/>
    </row>
    <row r="146">
      <c r="A146" s="52" t="n">
        <v>104</v>
      </c>
      <c r="B146" s="51" t="inlineStr">
        <is>
          <t>管道送风系统</t>
        </is>
      </c>
      <c r="C146" s="51" t="inlineStr">
        <is>
          <t>风阀</t>
        </is>
      </c>
      <c r="D146" s="51" t="inlineStr">
        <is>
          <t>□1100×1100，材质pp阻燃</t>
        </is>
      </c>
      <c r="E146" s="52" t="inlineStr">
        <is>
          <t>个</t>
        </is>
      </c>
      <c r="F146" s="133" t="n">
        <v>1</v>
      </c>
      <c r="G146" s="134" t="n">
        <v>5000</v>
      </c>
      <c r="H146" s="134">
        <f>F146*G146</f>
        <v/>
      </c>
      <c r="I146" s="52" t="inlineStr">
        <is>
          <t>国产（待定）</t>
        </is>
      </c>
      <c r="J146" s="51" t="str"/>
    </row>
    <row r="147">
      <c r="A147" s="52" t="n">
        <v>105</v>
      </c>
      <c r="B147" s="51" t="inlineStr">
        <is>
          <t>风管支架</t>
        </is>
      </c>
      <c r="C147" s="51" t="inlineStr">
        <is>
          <t>风管支架</t>
        </is>
      </c>
      <c r="D147" s="51" t="str"/>
      <c r="E147" s="52" t="inlineStr">
        <is>
          <t>项</t>
        </is>
      </c>
      <c r="F147" s="133" t="n">
        <v>1</v>
      </c>
      <c r="G147" s="134" t="n">
        <v>4300</v>
      </c>
      <c r="H147" s="134">
        <f>F147*G147</f>
        <v/>
      </c>
      <c r="I147" s="52" t="inlineStr">
        <is>
          <t>国产（待定）</t>
        </is>
      </c>
      <c r="J147" s="51" t="str"/>
    </row>
    <row r="148">
      <c r="A148" s="64" t="inlineStr">
        <is>
          <t>（十三）2楼车间新风送风 管道系统（编号：2F-送风2）  小计</t>
        </is>
      </c>
      <c r="B148" s="135" t="n"/>
      <c r="C148" s="135" t="n"/>
      <c r="D148" s="135" t="n"/>
      <c r="E148" s="136" t="n"/>
      <c r="F148" s="65" t="n"/>
      <c r="G148" s="65" t="n"/>
      <c r="H148" s="137">
        <f>SUM(H144:H147)</f>
        <v/>
      </c>
      <c r="I148" s="65" t="n"/>
      <c r="J148" s="65" t="n"/>
    </row>
    <row r="149">
      <c r="A149" s="46" t="inlineStr">
        <is>
          <t>（十四）2楼车间新风送风 管道系统（编号：2F-送风3）</t>
        </is>
      </c>
    </row>
    <row r="150">
      <c r="A150" s="52" t="n">
        <v>106</v>
      </c>
      <c r="B150" s="51" t="inlineStr">
        <is>
          <t>管道送风系统</t>
        </is>
      </c>
      <c r="C150" s="51" t="inlineStr">
        <is>
          <t>送风主管</t>
        </is>
      </c>
      <c r="D150" s="51" t="inlineStr">
        <is>
          <t>□1100×1100</t>
        </is>
      </c>
      <c r="E150" s="52" t="inlineStr">
        <is>
          <t>米</t>
        </is>
      </c>
      <c r="F150" s="133" t="n">
        <v>24</v>
      </c>
      <c r="G150" s="134" t="n">
        <v>660</v>
      </c>
      <c r="H150" s="134">
        <f>F150*G150</f>
        <v/>
      </c>
      <c r="I150" s="52" t="inlineStr">
        <is>
          <t>国产（待定）</t>
        </is>
      </c>
      <c r="J150" s="51" t="inlineStr">
        <is>
          <t>敷设至管井旁，阀后封闭备用</t>
        </is>
      </c>
    </row>
    <row r="151">
      <c r="A151" s="52" t="n">
        <v>107</v>
      </c>
      <c r="B151" s="51" t="inlineStr">
        <is>
          <t>管道送风系统</t>
        </is>
      </c>
      <c r="C151" s="51" t="inlineStr">
        <is>
          <t>90°弯头</t>
        </is>
      </c>
      <c r="D151" s="51" t="inlineStr">
        <is>
          <t>□1100×1100</t>
        </is>
      </c>
      <c r="E151" s="52" t="inlineStr">
        <is>
          <t>个</t>
        </is>
      </c>
      <c r="F151" s="133" t="n">
        <v>6</v>
      </c>
      <c r="G151" s="134" t="n">
        <v>1000</v>
      </c>
      <c r="H151" s="134">
        <f>F151*G151</f>
        <v/>
      </c>
      <c r="I151" s="52" t="inlineStr">
        <is>
          <t>国产（待定）</t>
        </is>
      </c>
      <c r="J151" s="51" t="str"/>
    </row>
    <row r="152">
      <c r="A152" s="52" t="n">
        <v>108</v>
      </c>
      <c r="B152" s="51" t="inlineStr">
        <is>
          <t>管道送风系统</t>
        </is>
      </c>
      <c r="C152" s="51" t="inlineStr">
        <is>
          <t>风阀</t>
        </is>
      </c>
      <c r="D152" s="51" t="inlineStr">
        <is>
          <t>□1100×1100，材质pp阻燃</t>
        </is>
      </c>
      <c r="E152" s="52" t="inlineStr">
        <is>
          <t>个</t>
        </is>
      </c>
      <c r="F152" s="133" t="n">
        <v>1</v>
      </c>
      <c r="G152" s="134" t="n">
        <v>5000</v>
      </c>
      <c r="H152" s="134">
        <f>F152*G152</f>
        <v/>
      </c>
      <c r="I152" s="52" t="inlineStr">
        <is>
          <t>国产（待定）</t>
        </is>
      </c>
      <c r="J152" s="51" t="str"/>
    </row>
    <row r="153">
      <c r="A153" s="52" t="n">
        <v>109</v>
      </c>
      <c r="B153" s="51" t="inlineStr">
        <is>
          <t>风管支架</t>
        </is>
      </c>
      <c r="C153" s="51" t="inlineStr">
        <is>
          <t>风管支架</t>
        </is>
      </c>
      <c r="D153" s="51" t="str"/>
      <c r="E153" s="52" t="inlineStr">
        <is>
          <t>项</t>
        </is>
      </c>
      <c r="F153" s="133" t="n">
        <v>1</v>
      </c>
      <c r="G153" s="134" t="n">
        <v>4300</v>
      </c>
      <c r="H153" s="134">
        <f>F153*G153</f>
        <v/>
      </c>
      <c r="I153" s="52" t="inlineStr">
        <is>
          <t>国产（待定）</t>
        </is>
      </c>
      <c r="J153" s="51" t="str"/>
    </row>
    <row r="154">
      <c r="A154" s="64" t="inlineStr">
        <is>
          <t>（十四）2楼车间新风送风 管道系统（编号：2F-送风3）  小计</t>
        </is>
      </c>
      <c r="B154" s="135" t="n"/>
      <c r="C154" s="135" t="n"/>
      <c r="D154" s="135" t="n"/>
      <c r="E154" s="136" t="n"/>
      <c r="F154" s="65" t="n"/>
      <c r="G154" s="65" t="n"/>
      <c r="H154" s="137">
        <f>SUM(H150:H153)</f>
        <v/>
      </c>
      <c r="I154" s="65" t="n"/>
      <c r="J154" s="65" t="n"/>
    </row>
    <row r="155">
      <c r="A155" s="46" t="inlineStr">
        <is>
          <t>（十五）3楼车间新风送风 管道系统（编号：3F-送风4）</t>
        </is>
      </c>
    </row>
    <row r="156">
      <c r="A156" s="52" t="n">
        <v>110</v>
      </c>
      <c r="B156" s="51" t="inlineStr">
        <is>
          <t>管道送风系统</t>
        </is>
      </c>
      <c r="C156" s="51" t="inlineStr">
        <is>
          <t>送风主管</t>
        </is>
      </c>
      <c r="D156" s="51" t="inlineStr">
        <is>
          <t>□1100×1100</t>
        </is>
      </c>
      <c r="E156" s="52" t="inlineStr">
        <is>
          <t>米</t>
        </is>
      </c>
      <c r="F156" s="133" t="n">
        <v>108</v>
      </c>
      <c r="G156" s="134" t="n">
        <v>680</v>
      </c>
      <c r="H156" s="134">
        <f>F156*G156</f>
        <v/>
      </c>
      <c r="I156" s="52" t="inlineStr">
        <is>
          <t>国产（待定）</t>
        </is>
      </c>
      <c r="J156" s="51" t="inlineStr">
        <is>
          <t>敷设至三楼生产线端面</t>
        </is>
      </c>
    </row>
    <row r="157">
      <c r="A157" s="52" t="n">
        <v>111</v>
      </c>
      <c r="B157" s="51" t="inlineStr">
        <is>
          <t>管道送风系统</t>
        </is>
      </c>
      <c r="C157" s="51" t="inlineStr">
        <is>
          <t>90°弯头</t>
        </is>
      </c>
      <c r="D157" s="51" t="inlineStr">
        <is>
          <t>□1100×1100</t>
        </is>
      </c>
      <c r="E157" s="52" t="inlineStr">
        <is>
          <t>个</t>
        </is>
      </c>
      <c r="F157" s="133" t="n">
        <v>8</v>
      </c>
      <c r="G157" s="134" t="n">
        <v>1050</v>
      </c>
      <c r="H157" s="134">
        <f>F157*G157</f>
        <v/>
      </c>
      <c r="I157" s="52" t="inlineStr">
        <is>
          <t>国产（待定）</t>
        </is>
      </c>
      <c r="J157" s="51" t="str"/>
    </row>
    <row r="158">
      <c r="A158" s="52" t="n">
        <v>112</v>
      </c>
      <c r="B158" s="51" t="inlineStr">
        <is>
          <t>管道送风系统</t>
        </is>
      </c>
      <c r="C158" s="51" t="inlineStr">
        <is>
          <t>风阀</t>
        </is>
      </c>
      <c r="D158" s="51" t="inlineStr">
        <is>
          <t>□1100×1100，材质pp阻燃</t>
        </is>
      </c>
      <c r="E158" s="52" t="inlineStr">
        <is>
          <t>个</t>
        </is>
      </c>
      <c r="F158" s="133" t="n">
        <v>1</v>
      </c>
      <c r="G158" s="134" t="n">
        <v>5400</v>
      </c>
      <c r="H158" s="134">
        <f>F158*G158</f>
        <v/>
      </c>
      <c r="I158" s="52" t="inlineStr">
        <is>
          <t>国产（待定）</t>
        </is>
      </c>
      <c r="J158" s="51" t="str"/>
    </row>
    <row r="159">
      <c r="A159" s="52" t="n">
        <v>113</v>
      </c>
      <c r="B159" s="51" t="inlineStr">
        <is>
          <t>风管支架</t>
        </is>
      </c>
      <c r="C159" s="51" t="inlineStr">
        <is>
          <t>风管支架</t>
        </is>
      </c>
      <c r="D159" s="51" t="str"/>
      <c r="E159" s="52" t="inlineStr">
        <is>
          <t>项</t>
        </is>
      </c>
      <c r="F159" s="133" t="n">
        <v>1</v>
      </c>
      <c r="G159" s="134" t="n">
        <v>17500</v>
      </c>
      <c r="H159" s="134">
        <f>F159*G159</f>
        <v/>
      </c>
      <c r="I159" s="52" t="inlineStr">
        <is>
          <t>国产（待定）</t>
        </is>
      </c>
      <c r="J159" s="51" t="str"/>
    </row>
    <row r="160">
      <c r="A160" s="52" t="n">
        <v>114</v>
      </c>
      <c r="B160" s="51" t="inlineStr">
        <is>
          <t>车间干管支撑架</t>
        </is>
      </c>
      <c r="C160" s="51" t="inlineStr">
        <is>
          <t>干管支撑架</t>
        </is>
      </c>
      <c r="D160" s="51" t="str"/>
      <c r="E160" s="52" t="inlineStr">
        <is>
          <t>项</t>
        </is>
      </c>
      <c r="F160" s="133" t="n">
        <v>1</v>
      </c>
      <c r="G160" s="134" t="n">
        <v>35000</v>
      </c>
      <c r="H160" s="134">
        <f>F160*G160</f>
        <v/>
      </c>
      <c r="I160" s="52" t="inlineStr">
        <is>
          <t>国产（待定）</t>
        </is>
      </c>
      <c r="J160" s="51" t="str"/>
    </row>
    <row r="161">
      <c r="A161" s="64" t="inlineStr">
        <is>
          <t>（十五）3楼车间新风送风 管道系统（编号：3F-送风4）  小计</t>
        </is>
      </c>
      <c r="B161" s="135" t="n"/>
      <c r="C161" s="135" t="n"/>
      <c r="D161" s="135" t="n"/>
      <c r="E161" s="136" t="n"/>
      <c r="F161" s="65" t="n"/>
      <c r="G161" s="65" t="n"/>
      <c r="H161" s="137">
        <f>SUM(H156:H160)</f>
        <v/>
      </c>
      <c r="I161" s="65" t="n"/>
      <c r="J161" s="65" t="n"/>
    </row>
    <row r="162">
      <c r="A162" s="46" t="inlineStr">
        <is>
          <t>（十六）3楼车间新风送风 管道系统（编号：3F-送风5）</t>
        </is>
      </c>
    </row>
    <row r="163">
      <c r="A163" s="52" t="n">
        <v>115</v>
      </c>
      <c r="B163" s="51" t="inlineStr">
        <is>
          <t>管道送风系统</t>
        </is>
      </c>
      <c r="C163" s="51" t="inlineStr">
        <is>
          <t>送风主管</t>
        </is>
      </c>
      <c r="D163" s="51" t="inlineStr">
        <is>
          <t>□1100×1100</t>
        </is>
      </c>
      <c r="E163" s="52" t="inlineStr">
        <is>
          <t>米</t>
        </is>
      </c>
      <c r="F163" s="133" t="n">
        <v>90</v>
      </c>
      <c r="G163" s="134" t="n">
        <v>680</v>
      </c>
      <c r="H163" s="134">
        <f>F163*G163</f>
        <v/>
      </c>
      <c r="I163" s="52" t="inlineStr">
        <is>
          <t>国产（待定）</t>
        </is>
      </c>
      <c r="J163" s="51" t="inlineStr">
        <is>
          <t>敷设至三楼生产线端面</t>
        </is>
      </c>
    </row>
    <row r="164">
      <c r="A164" s="52" t="n">
        <v>116</v>
      </c>
      <c r="B164" s="51" t="inlineStr">
        <is>
          <t>管道送风系统</t>
        </is>
      </c>
      <c r="C164" s="51" t="inlineStr">
        <is>
          <t>90°弯头</t>
        </is>
      </c>
      <c r="D164" s="51" t="inlineStr">
        <is>
          <t>□1100×1100</t>
        </is>
      </c>
      <c r="E164" s="52" t="inlineStr">
        <is>
          <t>个</t>
        </is>
      </c>
      <c r="F164" s="133" t="n">
        <v>8</v>
      </c>
      <c r="G164" s="134" t="n">
        <v>1050</v>
      </c>
      <c r="H164" s="134">
        <f>F164*G164</f>
        <v/>
      </c>
      <c r="I164" s="52" t="inlineStr">
        <is>
          <t>国产（待定）</t>
        </is>
      </c>
      <c r="J164" s="51" t="str"/>
    </row>
    <row r="165">
      <c r="A165" s="52" t="n">
        <v>117</v>
      </c>
      <c r="B165" s="51" t="inlineStr">
        <is>
          <t>管道送风系统</t>
        </is>
      </c>
      <c r="C165" s="51" t="inlineStr">
        <is>
          <t>风阀</t>
        </is>
      </c>
      <c r="D165" s="51" t="inlineStr">
        <is>
          <t>□1100×1100，材质pp阻燃</t>
        </is>
      </c>
      <c r="E165" s="52" t="inlineStr">
        <is>
          <t>个</t>
        </is>
      </c>
      <c r="F165" s="133" t="n">
        <v>1</v>
      </c>
      <c r="G165" s="134" t="n">
        <v>5400</v>
      </c>
      <c r="H165" s="134">
        <f>F165*G165</f>
        <v/>
      </c>
      <c r="I165" s="52" t="inlineStr">
        <is>
          <t>国产（待定）</t>
        </is>
      </c>
      <c r="J165" s="51" t="str"/>
    </row>
    <row r="166">
      <c r="A166" s="52" t="n">
        <v>118</v>
      </c>
      <c r="B166" s="51" t="inlineStr">
        <is>
          <t>风管支架</t>
        </is>
      </c>
      <c r="C166" s="51" t="inlineStr">
        <is>
          <t>风管支架</t>
        </is>
      </c>
      <c r="D166" s="51" t="str"/>
      <c r="E166" s="52" t="inlineStr">
        <is>
          <t>项</t>
        </is>
      </c>
      <c r="F166" s="133" t="n">
        <v>1</v>
      </c>
      <c r="G166" s="134" t="n">
        <v>16500</v>
      </c>
      <c r="H166" s="134">
        <f>F166*G166</f>
        <v/>
      </c>
      <c r="I166" s="52" t="inlineStr">
        <is>
          <t>国产（待定）</t>
        </is>
      </c>
      <c r="J166" s="51" t="str"/>
    </row>
    <row r="167">
      <c r="A167" s="52" t="n">
        <v>119</v>
      </c>
      <c r="B167" s="51" t="inlineStr">
        <is>
          <t>车间干管支撑架</t>
        </is>
      </c>
      <c r="C167" s="51" t="inlineStr">
        <is>
          <t>干管支撑架</t>
        </is>
      </c>
      <c r="D167" s="51" t="str"/>
      <c r="E167" s="52" t="inlineStr">
        <is>
          <t>项</t>
        </is>
      </c>
      <c r="F167" s="133" t="n">
        <v>1</v>
      </c>
      <c r="G167" s="134" t="n">
        <v>35000</v>
      </c>
      <c r="H167" s="134">
        <f>F167*G167</f>
        <v/>
      </c>
      <c r="I167" s="52" t="inlineStr">
        <is>
          <t>国产（待定）</t>
        </is>
      </c>
      <c r="J167" s="51" t="str"/>
    </row>
    <row r="168">
      <c r="A168" s="64" t="inlineStr">
        <is>
          <t>（十六）3楼车间新风送风 管道系统（编号：3F-送风5）  小计</t>
        </is>
      </c>
      <c r="B168" s="135" t="n"/>
      <c r="C168" s="135" t="n"/>
      <c r="D168" s="135" t="n"/>
      <c r="E168" s="136" t="n"/>
      <c r="F168" s="65" t="n"/>
      <c r="G168" s="65" t="n"/>
      <c r="H168" s="137">
        <f>SUM(H163:H167)</f>
        <v/>
      </c>
      <c r="I168" s="65" t="n"/>
      <c r="J168" s="65" t="n"/>
    </row>
    <row r="169">
      <c r="A169" s="46" t="inlineStr">
        <is>
          <t>（十七）安装辅材及配套费用</t>
        </is>
      </c>
    </row>
    <row r="170">
      <c r="A170" s="52" t="n">
        <v>120</v>
      </c>
      <c r="B170" s="51" t="inlineStr">
        <is>
          <t>安装辅材</t>
        </is>
      </c>
      <c r="C170" s="51" t="inlineStr">
        <is>
          <t>PP焊条及焊接材料</t>
        </is>
      </c>
      <c r="D170" s="51" t="inlineStr">
        <is>
          <t>PP/FRPP风管现场焊接及修补用</t>
        </is>
      </c>
      <c r="E170" s="52" t="inlineStr">
        <is>
          <t>项</t>
        </is>
      </c>
      <c r="F170" s="133" t="n">
        <v>1</v>
      </c>
      <c r="G170" s="134" t="n">
        <v>18000</v>
      </c>
      <c r="H170" s="134">
        <f>F170*G170</f>
        <v/>
      </c>
      <c r="I170" s="52" t="inlineStr">
        <is>
          <t>国产（待定）</t>
        </is>
      </c>
      <c r="J170" s="51" t="str"/>
    </row>
    <row r="171">
      <c r="A171" s="52" t="n">
        <v>121</v>
      </c>
      <c r="B171" s="51" t="inlineStr">
        <is>
          <t>安装辅材</t>
        </is>
      </c>
      <c r="C171" s="51" t="inlineStr">
        <is>
          <t>法兰、密封垫片及紧固件</t>
        </is>
      </c>
      <c r="D171" s="51" t="inlineStr">
        <is>
          <t>风管法兰连接、阀门及设备接口配套</t>
        </is>
      </c>
      <c r="E171" s="52" t="inlineStr">
        <is>
          <t>项</t>
        </is>
      </c>
      <c r="F171" s="133" t="n">
        <v>1</v>
      </c>
      <c r="G171" s="134" t="n">
        <v>45000</v>
      </c>
      <c r="H171" s="134">
        <f>F171*G171</f>
        <v/>
      </c>
      <c r="I171" s="52" t="inlineStr">
        <is>
          <t>国产（待定）</t>
        </is>
      </c>
      <c r="J171" s="51" t="str"/>
    </row>
    <row r="172">
      <c r="A172" s="52" t="n">
        <v>122</v>
      </c>
      <c r="B172" s="51" t="inlineStr">
        <is>
          <t>安装辅材</t>
        </is>
      </c>
      <c r="C172" s="51" t="inlineStr">
        <is>
          <t>支吊架及管卡辅件</t>
        </is>
      </c>
      <c r="D172" s="51" t="inlineStr">
        <is>
          <t>型钢、管卡、膨胀螺栓及防腐处理</t>
        </is>
      </c>
      <c r="E172" s="52" t="inlineStr">
        <is>
          <t>项</t>
        </is>
      </c>
      <c r="F172" s="133" t="n">
        <v>1</v>
      </c>
      <c r="G172" s="134" t="n">
        <v>35000</v>
      </c>
      <c r="H172" s="134">
        <f>F172*G172</f>
        <v/>
      </c>
      <c r="I172" s="52" t="inlineStr">
        <is>
          <t>国产（待定）</t>
        </is>
      </c>
      <c r="J172" s="51" t="str"/>
    </row>
    <row r="173">
      <c r="A173" s="52" t="n">
        <v>123</v>
      </c>
      <c r="B173" s="51" t="inlineStr">
        <is>
          <t>安装辅材</t>
        </is>
      </c>
      <c r="C173" s="51" t="inlineStr">
        <is>
          <t>设备预埋件及地脚螺栓</t>
        </is>
      </c>
      <c r="D173" s="51" t="inlineStr">
        <is>
          <t>设备就位固定用</t>
        </is>
      </c>
      <c r="E173" s="52" t="inlineStr">
        <is>
          <t>项</t>
        </is>
      </c>
      <c r="F173" s="133" t="n">
        <v>1</v>
      </c>
      <c r="G173" s="134" t="n">
        <v>28000</v>
      </c>
      <c r="H173" s="134">
        <f>F173*G173</f>
        <v/>
      </c>
      <c r="I173" s="52" t="inlineStr">
        <is>
          <t>国产（待定）</t>
        </is>
      </c>
      <c r="J173" s="51" t="inlineStr">
        <is>
          <t>不含土建基础本体</t>
        </is>
      </c>
    </row>
    <row r="174">
      <c r="A174" s="52" t="n">
        <v>124</v>
      </c>
      <c r="B174" s="51" t="inlineStr">
        <is>
          <t>安装辅材</t>
        </is>
      </c>
      <c r="C174" s="51" t="inlineStr">
        <is>
          <t>吊装索具及专用工具</t>
        </is>
      </c>
      <c r="D174" s="51" t="inlineStr">
        <is>
          <t>现场吊装及安装专用工器具</t>
        </is>
      </c>
      <c r="E174" s="52" t="inlineStr">
        <is>
          <t>项</t>
        </is>
      </c>
      <c r="F174" s="133" t="n">
        <v>1</v>
      </c>
      <c r="G174" s="134" t="n">
        <v>32000</v>
      </c>
      <c r="H174" s="134">
        <f>F174*G174</f>
        <v/>
      </c>
      <c r="I174" s="52" t="inlineStr">
        <is>
          <t>国产（待定）</t>
        </is>
      </c>
      <c r="J174" s="51" t="str"/>
    </row>
    <row r="175">
      <c r="A175" s="52" t="n">
        <v>125</v>
      </c>
      <c r="B175" s="51" t="inlineStr">
        <is>
          <t>安装辅材</t>
        </is>
      </c>
      <c r="C175" s="51" t="inlineStr">
        <is>
          <t>现场临时设施及安全文明措施</t>
        </is>
      </c>
      <c r="D175" s="51" t="inlineStr">
        <is>
          <t>临电、围挡、安全防护及标识</t>
        </is>
      </c>
      <c r="E175" s="52" t="inlineStr">
        <is>
          <t>项</t>
        </is>
      </c>
      <c r="F175" s="133" t="n">
        <v>1</v>
      </c>
      <c r="G175" s="134" t="n">
        <v>35000</v>
      </c>
      <c r="H175" s="134">
        <f>F175*G175</f>
        <v/>
      </c>
      <c r="I175" s="52" t="inlineStr">
        <is>
          <t>国内服务</t>
        </is>
      </c>
      <c r="J175" s="51" t="str"/>
    </row>
    <row r="176">
      <c r="A176" s="52" t="n">
        <v>126</v>
      </c>
      <c r="B176" s="51" t="inlineStr">
        <is>
          <t>安装辅材</t>
        </is>
      </c>
      <c r="C176" s="51" t="inlineStr">
        <is>
          <t>调试药剂及易损备件</t>
        </is>
      </c>
      <c r="D176" s="51" t="inlineStr">
        <is>
          <t>中和药剂、喷嘴及密封备件</t>
        </is>
      </c>
      <c r="E176" s="52" t="inlineStr">
        <is>
          <t>项</t>
        </is>
      </c>
      <c r="F176" s="133" t="n">
        <v>1</v>
      </c>
      <c r="G176" s="134" t="n">
        <v>25000</v>
      </c>
      <c r="H176" s="134">
        <f>F176*G176</f>
        <v/>
      </c>
      <c r="I176" s="52" t="inlineStr">
        <is>
          <t>国产（待定）</t>
        </is>
      </c>
      <c r="J176" s="51" t="str"/>
    </row>
    <row r="177">
      <c r="A177" s="52" t="n">
        <v>127</v>
      </c>
      <c r="B177" s="51" t="inlineStr">
        <is>
          <t>安装辅材</t>
        </is>
      </c>
      <c r="C177" s="51" t="inlineStr">
        <is>
          <t>现场耗材及劳保用品</t>
        </is>
      </c>
      <c r="D177" s="51" t="inlineStr">
        <is>
          <t>切割片、密封胶、防护用品等</t>
        </is>
      </c>
      <c r="E177" s="52" t="inlineStr">
        <is>
          <t>项</t>
        </is>
      </c>
      <c r="F177" s="133" t="n">
        <v>1</v>
      </c>
      <c r="G177" s="134" t="n">
        <v>15000</v>
      </c>
      <c r="H177" s="134">
        <f>F177*G177</f>
        <v/>
      </c>
      <c r="I177" s="52" t="inlineStr">
        <is>
          <t>国内服务</t>
        </is>
      </c>
      <c r="J177" s="51" t="str"/>
    </row>
    <row r="178">
      <c r="A178" s="64" t="inlineStr">
        <is>
          <t>（十七）安装辅材及配套费用  小计</t>
        </is>
      </c>
      <c r="B178" s="135" t="n"/>
      <c r="C178" s="135" t="n"/>
      <c r="D178" s="135" t="n"/>
      <c r="E178" s="136" t="n"/>
      <c r="F178" s="65" t="n"/>
      <c r="G178" s="65" t="n"/>
      <c r="H178" s="137">
        <f>SUM(H170:H177)</f>
        <v/>
      </c>
      <c r="I178" s="65" t="n"/>
      <c r="J178" s="65" t="n"/>
    </row>
    <row r="179">
      <c r="A179" s="46" t="inlineStr">
        <is>
          <t>（十八）包装与运输费用</t>
        </is>
      </c>
    </row>
    <row r="180">
      <c r="A180" s="52" t="n">
        <v>128</v>
      </c>
      <c r="B180" s="51" t="inlineStr">
        <is>
          <t>包装运输</t>
        </is>
      </c>
      <c r="C180" s="51" t="inlineStr">
        <is>
          <t>出口木箱及防潮包装</t>
        </is>
      </c>
      <c r="D180" s="51" t="inlineStr">
        <is>
          <t>设备、电控及精密件出口木箱/缠绕防潮包装</t>
        </is>
      </c>
      <c r="E180" s="52" t="inlineStr">
        <is>
          <t>项</t>
        </is>
      </c>
      <c r="F180" s="133" t="n">
        <v>1</v>
      </c>
      <c r="G180" s="134" t="n">
        <v>62000</v>
      </c>
      <c r="H180" s="134">
        <f>F180*G180</f>
        <v/>
      </c>
      <c r="I180" s="52" t="inlineStr">
        <is>
          <t>国内服务</t>
        </is>
      </c>
      <c r="J180" s="51" t="str"/>
    </row>
    <row r="181">
      <c r="A181" s="52" t="n">
        <v>129</v>
      </c>
      <c r="B181" s="51" t="inlineStr">
        <is>
          <t>包装运输</t>
        </is>
      </c>
      <c r="C181" s="51" t="inlineStr">
        <is>
          <t>超限件加固与绑扎</t>
        </is>
      </c>
      <c r="D181" s="51" t="inlineStr">
        <is>
          <t>大尺寸塔体、风管及支撑架加固绑扎</t>
        </is>
      </c>
      <c r="E181" s="52" t="inlineStr">
        <is>
          <t>项</t>
        </is>
      </c>
      <c r="F181" s="133" t="n">
        <v>1</v>
      </c>
      <c r="G181" s="134" t="n">
        <v>38000</v>
      </c>
      <c r="H181" s="134">
        <f>F181*G181</f>
        <v/>
      </c>
      <c r="I181" s="52" t="inlineStr">
        <is>
          <t>国内服务</t>
        </is>
      </c>
      <c r="J181" s="51" t="str"/>
    </row>
    <row r="182">
      <c r="A182" s="52" t="n">
        <v>130</v>
      </c>
      <c r="B182" s="51" t="inlineStr">
        <is>
          <t>包装运输</t>
        </is>
      </c>
      <c r="C182" s="51" t="inlineStr">
        <is>
          <t>国内短驳及集港运输</t>
        </is>
      </c>
      <c r="D182" s="51" t="inlineStr">
        <is>
          <t>工厂至国内起运港运输</t>
        </is>
      </c>
      <c r="E182" s="52" t="inlineStr">
        <is>
          <t>项</t>
        </is>
      </c>
      <c r="F182" s="133" t="n">
        <v>1</v>
      </c>
      <c r="G182" s="134" t="n">
        <v>52000</v>
      </c>
      <c r="H182" s="134">
        <f>F182*G182</f>
        <v/>
      </c>
      <c r="I182" s="52" t="inlineStr">
        <is>
          <t>国内服务</t>
        </is>
      </c>
      <c r="J182" s="51" t="str"/>
    </row>
    <row r="183">
      <c r="A183" s="52" t="n">
        <v>131</v>
      </c>
      <c r="B183" s="51" t="inlineStr">
        <is>
          <t>包装运输</t>
        </is>
      </c>
      <c r="C183" s="51" t="inlineStr">
        <is>
          <t>出口报关、港杂及单证</t>
        </is>
      </c>
      <c r="D183" s="51" t="inlineStr">
        <is>
          <t>报关、订舱、港杂及出口单证</t>
        </is>
      </c>
      <c r="E183" s="52" t="inlineStr">
        <is>
          <t>项</t>
        </is>
      </c>
      <c r="F183" s="133" t="n">
        <v>1</v>
      </c>
      <c r="G183" s="134" t="n">
        <v>35000</v>
      </c>
      <c r="H183" s="134">
        <f>F183*G183</f>
        <v/>
      </c>
      <c r="I183" s="52" t="inlineStr">
        <is>
          <t>国内服务</t>
        </is>
      </c>
      <c r="J183" s="51" t="str"/>
    </row>
    <row r="184">
      <c r="A184" s="52" t="n">
        <v>132</v>
      </c>
      <c r="B184" s="51" t="inlineStr">
        <is>
          <t>包装运输</t>
        </is>
      </c>
      <c r="C184" s="51" t="inlineStr">
        <is>
          <t>国际海运及货运保险</t>
        </is>
      </c>
      <c r="D184" s="51" t="inlineStr">
        <is>
          <t>中国口岸至泰国口岸海运及保险</t>
        </is>
      </c>
      <c r="E184" s="52" t="inlineStr">
        <is>
          <t>项</t>
        </is>
      </c>
      <c r="F184" s="133" t="n">
        <v>1</v>
      </c>
      <c r="G184" s="134" t="n">
        <v>95000</v>
      </c>
      <c r="H184" s="134">
        <f>F184*G184</f>
        <v/>
      </c>
      <c r="I184" s="52" t="inlineStr">
        <is>
          <t>国际物流</t>
        </is>
      </c>
      <c r="J184" s="51" t="inlineStr">
        <is>
          <t>按当期运价测算</t>
        </is>
      </c>
    </row>
    <row r="185">
      <c r="A185" s="52" t="n">
        <v>133</v>
      </c>
      <c r="B185" s="51" t="inlineStr">
        <is>
          <t>包装运输</t>
        </is>
      </c>
      <c r="C185" s="51" t="inlineStr">
        <is>
          <t>泰国清关、内陆运输及现场卸车</t>
        </is>
      </c>
      <c r="D185" s="51" t="inlineStr">
        <is>
          <t>目的港清关、公路运输及现场卸车</t>
        </is>
      </c>
      <c r="E185" s="52" t="inlineStr">
        <is>
          <t>项</t>
        </is>
      </c>
      <c r="F185" s="133" t="n">
        <v>1</v>
      </c>
      <c r="G185" s="134" t="n">
        <v>60000</v>
      </c>
      <c r="H185" s="134">
        <f>F185*G185</f>
        <v/>
      </c>
      <c r="I185" s="52" t="inlineStr">
        <is>
          <t>泰国当地服务</t>
        </is>
      </c>
      <c r="J185" s="51" t="inlineStr">
        <is>
          <t>如产生关税或增值税，按实际另行结算</t>
        </is>
      </c>
    </row>
    <row r="186">
      <c r="A186" s="64" t="inlineStr">
        <is>
          <t>（十八）包装与运输费用  小计</t>
        </is>
      </c>
      <c r="B186" s="135" t="n"/>
      <c r="C186" s="135" t="n"/>
      <c r="D186" s="135" t="n"/>
      <c r="E186" s="136" t="n"/>
      <c r="F186" s="65" t="n"/>
      <c r="G186" s="65" t="n"/>
      <c r="H186" s="137">
        <f>SUM(H180:H185)</f>
        <v/>
      </c>
      <c r="I186" s="65" t="n"/>
      <c r="J186" s="65" t="n"/>
    </row>
    <row r="187">
      <c r="A187" s="46" t="inlineStr">
        <is>
          <t>（十九）安装调试及技术服务费</t>
        </is>
      </c>
    </row>
    <row r="188">
      <c r="A188" s="52" t="n">
        <v>134</v>
      </c>
      <c r="B188" s="51" t="inlineStr">
        <is>
          <t>安装调试</t>
        </is>
      </c>
      <c r="C188" s="51" t="inlineStr">
        <is>
          <t>工厂预制及试装配</t>
        </is>
      </c>
      <c r="D188" s="51" t="inlineStr">
        <is>
          <t>设备与管道工厂预制、试装及检验</t>
        </is>
      </c>
      <c r="E188" s="52" t="inlineStr">
        <is>
          <t>项</t>
        </is>
      </c>
      <c r="F188" s="133" t="n">
        <v>1</v>
      </c>
      <c r="G188" s="134" t="n">
        <v>55000</v>
      </c>
      <c r="H188" s="134">
        <f>F188*G188</f>
        <v/>
      </c>
      <c r="I188" s="52" t="inlineStr">
        <is>
          <t>国内服务</t>
        </is>
      </c>
      <c r="J188" s="51" t="str"/>
    </row>
    <row r="189">
      <c r="A189" s="52" t="n">
        <v>135</v>
      </c>
      <c r="B189" s="51" t="inlineStr">
        <is>
          <t>安装调试</t>
        </is>
      </c>
      <c r="C189" s="51" t="inlineStr">
        <is>
          <t>设备吊装及就位安装</t>
        </is>
      </c>
      <c r="D189" s="51" t="inlineStr">
        <is>
          <t>3座处理塔、2套送风机组及烟囱吊装就位</t>
        </is>
      </c>
      <c r="E189" s="52" t="inlineStr">
        <is>
          <t>项</t>
        </is>
      </c>
      <c r="F189" s="133" t="n">
        <v>1</v>
      </c>
      <c r="G189" s="134" t="n">
        <v>120000</v>
      </c>
      <c r="H189" s="134">
        <f>F189*G189</f>
        <v/>
      </c>
      <c r="I189" s="52" t="inlineStr">
        <is>
          <t>泰国现场</t>
        </is>
      </c>
      <c r="J189" s="51" t="str"/>
    </row>
    <row r="190">
      <c r="A190" s="52" t="n">
        <v>136</v>
      </c>
      <c r="B190" s="51" t="inlineStr">
        <is>
          <t>安装调试</t>
        </is>
      </c>
      <c r="C190" s="51" t="inlineStr">
        <is>
          <t>风管制作安装及阀件安装</t>
        </is>
      </c>
      <c r="D190" s="51" t="inlineStr">
        <is>
          <t>干管、弯头、三通、防火阀、风阀及支架安装</t>
        </is>
      </c>
      <c r="E190" s="52" t="inlineStr">
        <is>
          <t>项</t>
        </is>
      </c>
      <c r="F190" s="133" t="n">
        <v>1</v>
      </c>
      <c r="G190" s="134" t="n">
        <v>175000</v>
      </c>
      <c r="H190" s="134">
        <f>F190*G190</f>
        <v/>
      </c>
      <c r="I190" s="52" t="inlineStr">
        <is>
          <t>泰国现场</t>
        </is>
      </c>
      <c r="J190" s="51" t="str"/>
    </row>
    <row r="191">
      <c r="A191" s="52" t="n">
        <v>137</v>
      </c>
      <c r="B191" s="51" t="inlineStr">
        <is>
          <t>安装调试</t>
        </is>
      </c>
      <c r="C191" s="51" t="inlineStr">
        <is>
          <t>电气及自控安装接线</t>
        </is>
      </c>
      <c r="D191" s="51" t="inlineStr">
        <is>
          <t>配电箱、变频器、仪表及控制线缆安装接线</t>
        </is>
      </c>
      <c r="E191" s="52" t="inlineStr">
        <is>
          <t>项</t>
        </is>
      </c>
      <c r="F191" s="133" t="n">
        <v>1</v>
      </c>
      <c r="G191" s="134" t="n">
        <v>95000</v>
      </c>
      <c r="H191" s="134">
        <f>F191*G191</f>
        <v/>
      </c>
      <c r="I191" s="52" t="inlineStr">
        <is>
          <t>泰国现场</t>
        </is>
      </c>
      <c r="J191" s="51" t="str"/>
    </row>
    <row r="192">
      <c r="A192" s="52" t="n">
        <v>138</v>
      </c>
      <c r="B192" s="51" t="inlineStr">
        <is>
          <t>安装调试</t>
        </is>
      </c>
      <c r="C192" s="51" t="inlineStr">
        <is>
          <t>系统联动调试及性能测试配合</t>
        </is>
      </c>
      <c r="D192" s="51" t="inlineStr">
        <is>
          <t>单机试车、联动调试及达标测试配合</t>
        </is>
      </c>
      <c r="E192" s="52" t="inlineStr">
        <is>
          <t>项</t>
        </is>
      </c>
      <c r="F192" s="133" t="n">
        <v>1</v>
      </c>
      <c r="G192" s="134" t="n">
        <v>85000</v>
      </c>
      <c r="H192" s="134">
        <f>F192*G192</f>
        <v/>
      </c>
      <c r="I192" s="52" t="inlineStr">
        <is>
          <t>泰国现场</t>
        </is>
      </c>
      <c r="J192" s="51" t="inlineStr">
        <is>
          <t>不含第三方检测费</t>
        </is>
      </c>
    </row>
    <row r="193">
      <c r="A193" s="52" t="n">
        <v>139</v>
      </c>
      <c r="B193" s="51" t="inlineStr">
        <is>
          <t>安装调试</t>
        </is>
      </c>
      <c r="C193" s="51" t="inlineStr">
        <is>
          <t>技术培训与竣工资料</t>
        </is>
      </c>
      <c r="D193" s="51" t="inlineStr">
        <is>
          <t>操作培训、竣工图及维护资料</t>
        </is>
      </c>
      <c r="E193" s="52" t="inlineStr">
        <is>
          <t>项</t>
        </is>
      </c>
      <c r="F193" s="133" t="n">
        <v>1</v>
      </c>
      <c r="G193" s="134" t="n">
        <v>28000</v>
      </c>
      <c r="H193" s="134">
        <f>F193*G193</f>
        <v/>
      </c>
      <c r="I193" s="52" t="inlineStr">
        <is>
          <t>国内服务</t>
        </is>
      </c>
      <c r="J193" s="51" t="str"/>
    </row>
    <row r="194">
      <c r="A194" s="52" t="n">
        <v>140</v>
      </c>
      <c r="B194" s="51" t="inlineStr">
        <is>
          <t>安装调试</t>
        </is>
      </c>
      <c r="C194" s="51" t="inlineStr">
        <is>
          <t>项目管理及安全文明施工</t>
        </is>
      </c>
      <c r="D194" s="51" t="inlineStr">
        <is>
          <t>现场项目管理、安全交底及文明施工</t>
        </is>
      </c>
      <c r="E194" s="52" t="inlineStr">
        <is>
          <t>项</t>
        </is>
      </c>
      <c r="F194" s="133" t="n">
        <v>1</v>
      </c>
      <c r="G194" s="134" t="n">
        <v>55000</v>
      </c>
      <c r="H194" s="134">
        <f>F194*G194</f>
        <v/>
      </c>
      <c r="I194" s="52" t="inlineStr">
        <is>
          <t>泰国现场</t>
        </is>
      </c>
      <c r="J194" s="51" t="str"/>
    </row>
    <row r="195">
      <c r="A195" s="52" t="n">
        <v>141</v>
      </c>
      <c r="B195" s="51" t="inlineStr">
        <is>
          <t>安装调试</t>
        </is>
      </c>
      <c r="C195" s="51" t="inlineStr">
        <is>
          <t>泰国现场技术服务差旅住宿</t>
        </is>
      </c>
      <c r="D195" s="51" t="inlineStr">
        <is>
          <t>技术人员往返及驻场差旅住宿</t>
        </is>
      </c>
      <c r="E195" s="52" t="inlineStr">
        <is>
          <t>项</t>
        </is>
      </c>
      <c r="F195" s="133" t="n">
        <v>1</v>
      </c>
      <c r="G195" s="134" t="n">
        <v>50000</v>
      </c>
      <c r="H195" s="134">
        <f>F195*G195</f>
        <v/>
      </c>
      <c r="I195" s="52" t="inlineStr">
        <is>
          <t>泰国当地服务</t>
        </is>
      </c>
      <c r="J195" s="51" t="str"/>
    </row>
    <row r="196">
      <c r="A196" s="64" t="inlineStr">
        <is>
          <t>（十九）安装调试及技术服务费  小计</t>
        </is>
      </c>
      <c r="B196" s="135" t="n"/>
      <c r="C196" s="135" t="n"/>
      <c r="D196" s="135" t="n"/>
      <c r="E196" s="136" t="n"/>
      <c r="F196" s="65" t="n"/>
      <c r="G196" s="65" t="n"/>
      <c r="H196" s="137">
        <f>SUM(H188:H195)</f>
        <v/>
      </c>
      <c r="I196" s="65" t="n"/>
      <c r="J196" s="65" t="n"/>
    </row>
    <row r="197">
      <c r="A197" s="73" t="inlineStr">
        <is>
          <t>一至十六项 设备材料小计</t>
        </is>
      </c>
      <c r="B197" s="135" t="n"/>
      <c r="C197" s="135" t="n"/>
      <c r="D197" s="135" t="n"/>
      <c r="E197" s="136" t="n"/>
      <c r="F197" s="65" t="n"/>
      <c r="G197" s="65" t="n"/>
      <c r="H197" s="138">
        <f>$H$37+$H$57+$H$77+$H$84+$H$91+$H$99+$H$106+$H$113+$H$120+$H$128+$H$136+$H$142+$H$148+$H$154+$H$161+$H$168</f>
        <v/>
      </c>
      <c r="I197" s="65" t="n"/>
      <c r="J197" s="65" t="n"/>
    </row>
    <row r="198">
      <c r="A198" s="73" t="inlineStr">
        <is>
          <t>第十七项 辅材及配套费用小计</t>
        </is>
      </c>
      <c r="B198" s="135" t="n"/>
      <c r="C198" s="135" t="n"/>
      <c r="D198" s="135" t="n"/>
      <c r="E198" s="136" t="n"/>
      <c r="F198" s="65" t="n"/>
      <c r="G198" s="65" t="n"/>
      <c r="H198" s="138">
        <f>$H$178</f>
        <v/>
      </c>
      <c r="I198" s="65" t="n"/>
      <c r="J198" s="65" t="n"/>
    </row>
    <row r="199">
      <c r="A199" s="73" t="inlineStr">
        <is>
          <t>第十八项 包装与运输费用小计</t>
        </is>
      </c>
      <c r="B199" s="135" t="n"/>
      <c r="C199" s="135" t="n"/>
      <c r="D199" s="135" t="n"/>
      <c r="E199" s="136" t="n"/>
      <c r="F199" s="65" t="n"/>
      <c r="G199" s="65" t="n"/>
      <c r="H199" s="138">
        <f>$H$186</f>
        <v/>
      </c>
      <c r="I199" s="65" t="n"/>
      <c r="J199" s="65" t="n"/>
    </row>
    <row r="200">
      <c r="A200" s="80" t="inlineStr">
        <is>
          <t>第十九项 安装调试及技术服务费小计</t>
        </is>
      </c>
      <c r="B200" s="135" t="n"/>
      <c r="C200" s="135" t="n"/>
      <c r="D200" s="135" t="n"/>
      <c r="E200" s="136" t="n"/>
      <c r="F200" s="65" t="n"/>
      <c r="G200" s="65" t="n"/>
      <c r="H200" s="139">
        <f>$H$196</f>
        <v/>
      </c>
      <c r="I200" s="65" t="n"/>
      <c r="J200" s="65" t="n"/>
    </row>
    <row r="201">
      <c r="A201" s="86" t="inlineStr">
        <is>
          <t>未税合计</t>
        </is>
      </c>
      <c r="B201" s="135" t="n"/>
      <c r="C201" s="135" t="n"/>
      <c r="D201" s="135" t="n"/>
      <c r="E201" s="136" t="n"/>
      <c r="F201" s="65" t="n"/>
      <c r="G201" s="65" t="n"/>
      <c r="H201" s="140">
        <f>SUM(H197:H200)</f>
        <v/>
      </c>
      <c r="I201" s="65" t="n"/>
      <c r="J201" s="65" t="n"/>
    </row>
    <row r="202">
      <c r="A202" s="86" t="inlineStr">
        <is>
          <t>税率</t>
        </is>
      </c>
      <c r="B202" s="135" t="n"/>
      <c r="C202" s="135" t="n"/>
      <c r="D202" s="135" t="n"/>
      <c r="E202" s="136" t="n"/>
      <c r="F202" s="65" t="n"/>
      <c r="G202" s="65" t="n"/>
      <c r="H202" s="141">
        <f>H12</f>
        <v/>
      </c>
      <c r="I202" s="65" t="n"/>
      <c r="J202" s="65" t="n"/>
    </row>
    <row r="203">
      <c r="A203" s="86" t="inlineStr">
        <is>
          <t>税额</t>
        </is>
      </c>
      <c r="B203" s="135" t="n"/>
      <c r="C203" s="135" t="n"/>
      <c r="D203" s="135" t="n"/>
      <c r="E203" s="136" t="n"/>
      <c r="F203" s="65" t="n"/>
      <c r="G203" s="65" t="n"/>
      <c r="H203" s="140">
        <f>H201*H202</f>
        <v/>
      </c>
      <c r="I203" s="65" t="n"/>
      <c r="J203" s="65" t="n"/>
    </row>
    <row r="204">
      <c r="A204" s="86" t="inlineStr">
        <is>
          <t>含税总价</t>
        </is>
      </c>
      <c r="B204" s="135" t="n"/>
      <c r="C204" s="135" t="n"/>
      <c r="D204" s="135" t="n"/>
      <c r="E204" s="136" t="n"/>
      <c r="F204" s="65" t="n"/>
      <c r="G204" s="65" t="n"/>
      <c r="H204" s="140">
        <f>H201+H203</f>
        <v/>
      </c>
      <c r="I204" s="65" t="n"/>
      <c r="J204" s="65" t="n"/>
    </row>
    <row r="205">
      <c r="A205" s="93" t="inlineStr">
        <is>
          <t>报价范围说明：</t>
        </is>
      </c>
    </row>
    <row r="206">
      <c r="A206" s="98" t="inlineStr">
        <is>
          <t>1. 本报价范围以设计方案中“一期设备及材料清单”为准：3F两套酸碱废气处理系统、两套蒸发式送风系统本期投运；含氰系统及1F/2F酸碱、新风干管本期敷设至管井旁并阀后封闭备用。</t>
        </is>
      </c>
    </row>
    <row r="207">
      <c r="A207" s="98" t="inlineStr">
        <is>
          <t>2. 本报价含设备材料、安装辅材、包装、国内运输、出口报关港杂、国际海运及保险、泰国清关及内陆运输、安装调试、培训与竣工资料。</t>
        </is>
      </c>
    </row>
    <row r="208">
      <c r="A208" s="98" t="inlineStr">
        <is>
          <t>3. 本报价不含土建基础及防腐、甲方一次侧电源电缆、给排水接驳、生产线支管、第三方检测、泰国当地关税或增值税（如需），以及不可抗力造成的费用。</t>
        </is>
      </c>
    </row>
    <row r="209">
      <c r="A209" s="98" t="inlineStr">
        <is>
          <t>4. 报价单内金额均由公式自动计算，数量或单价修改后，小计、未税合计、税额和含税总价自动更新；金额统一保留两位小数。</t>
        </is>
      </c>
    </row>
    <row r="210">
      <c r="A210" s="98" t="inlineStr">
        <is>
          <t>5. 品牌栏暂以“待定”为主，正式对外使用前应由实际出具报价的公司复核品牌、产地、公司信息并签章授权。</t>
        </is>
      </c>
    </row>
    <row r="212">
      <c r="A212" s="142" t="inlineStr">
        <is>
          <t>客户确认（盖章）：</t>
        </is>
      </c>
      <c r="B212" s="143" t="n"/>
      <c r="C212" s="143" t="n"/>
      <c r="D212" s="143" t="n"/>
      <c r="E212" s="143" t="n"/>
      <c r="F212" s="144" t="inlineStr">
        <is>
          <t>报价单位确认（盖章）：</t>
        </is>
      </c>
      <c r="G212" s="151" t="n"/>
      <c r="H212" s="151" t="n"/>
      <c r="I212" s="151" t="n"/>
      <c r="J212" s="152" t="n"/>
    </row>
    <row r="213">
      <c r="A213" s="146" t="n"/>
      <c r="F213" s="147" t="n"/>
      <c r="J213" s="147" t="n"/>
    </row>
    <row r="214">
      <c r="A214" s="148" t="n"/>
      <c r="B214" s="149" t="n"/>
      <c r="C214" s="149" t="n"/>
      <c r="D214" s="149" t="n"/>
      <c r="E214" s="149" t="n"/>
      <c r="F214" s="150" t="n"/>
      <c r="G214" s="149" t="n"/>
      <c r="H214" s="149" t="n"/>
      <c r="I214" s="149" t="n"/>
      <c r="J214" s="150" t="n"/>
    </row>
  </sheetData>
  <mergeCells count="75">
    <mergeCell ref="A77:E77"/>
    <mergeCell ref="A85:J85"/>
    <mergeCell ref="A186:E186"/>
    <mergeCell ref="A148:E148"/>
    <mergeCell ref="A201:E201"/>
    <mergeCell ref="A206:J206"/>
    <mergeCell ref="F212:J212"/>
    <mergeCell ref="A100:J100"/>
    <mergeCell ref="A142:E142"/>
    <mergeCell ref="A11:E11"/>
    <mergeCell ref="F212:J214"/>
    <mergeCell ref="A4:J4"/>
    <mergeCell ref="A178:E178"/>
    <mergeCell ref="A38:J38"/>
    <mergeCell ref="A209:J209"/>
    <mergeCell ref="A168:E168"/>
    <mergeCell ref="A121:J121"/>
    <mergeCell ref="A197:E197"/>
    <mergeCell ref="F214:J214"/>
    <mergeCell ref="A155:J155"/>
    <mergeCell ref="A196:E196"/>
    <mergeCell ref="A58:J58"/>
    <mergeCell ref="A7:E7"/>
    <mergeCell ref="A143:J143"/>
    <mergeCell ref="A212:E214"/>
    <mergeCell ref="A92:J92"/>
    <mergeCell ref="A128:E128"/>
    <mergeCell ref="A114:J114"/>
    <mergeCell ref="A212:E212"/>
    <mergeCell ref="A15:J15"/>
    <mergeCell ref="A99:E99"/>
    <mergeCell ref="A37:E37"/>
    <mergeCell ref="A84:E84"/>
    <mergeCell ref="F213:J213"/>
    <mergeCell ref="A198:E198"/>
    <mergeCell ref="A120:E120"/>
    <mergeCell ref="A136:E136"/>
    <mergeCell ref="A107:J107"/>
    <mergeCell ref="A154:E154"/>
    <mergeCell ref="A1:J1"/>
    <mergeCell ref="A12:E12"/>
    <mergeCell ref="A169:J169"/>
    <mergeCell ref="A207:J207"/>
    <mergeCell ref="A57:E57"/>
    <mergeCell ref="A113:E113"/>
    <mergeCell ref="A6:J6"/>
    <mergeCell ref="A204:E204"/>
    <mergeCell ref="A214:E214"/>
    <mergeCell ref="A213:E213"/>
    <mergeCell ref="A78:J78"/>
    <mergeCell ref="A162:J162"/>
    <mergeCell ref="A14:E14"/>
    <mergeCell ref="A16:J16"/>
    <mergeCell ref="A8:E8"/>
    <mergeCell ref="A137:J137"/>
    <mergeCell ref="A187:J187"/>
    <mergeCell ref="A203:E203"/>
    <mergeCell ref="A205:J205"/>
    <mergeCell ref="A106:E106"/>
    <mergeCell ref="A91:E91"/>
    <mergeCell ref="A200:E200"/>
    <mergeCell ref="A208:J208"/>
    <mergeCell ref="A149:J149"/>
    <mergeCell ref="A10:E10"/>
    <mergeCell ref="A18:J18"/>
    <mergeCell ref="A161:E161"/>
    <mergeCell ref="A3:J3"/>
    <mergeCell ref="A199:E199"/>
    <mergeCell ref="A2:J2"/>
    <mergeCell ref="A13:E13"/>
    <mergeCell ref="A210:J210"/>
    <mergeCell ref="A179:J179"/>
    <mergeCell ref="A202:E202"/>
    <mergeCell ref="A9:E9"/>
    <mergeCell ref="A129:J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sheetData>
    <row r="1">
      <c r="A1" s="116" t="inlineStr">
        <is>
          <t>汇钻科技(泰国)股份有限公司（一期）车间废气处理及送新风工程
报价说明及商务条款</t>
        </is>
      </c>
    </row>
    <row r="2">
      <c r="A2" s="120" t="inlineStr">
        <is>
          <t>报价单编号：QY-2026-001</t>
        </is>
      </c>
      <c r="B2" s="120" t="inlineStr">
        <is>
          <t>报价日期：2026年08月06日</t>
        </is>
      </c>
      <c r="C2" s="120" t="inlineStr">
        <is>
          <t>币种：人民币（CNY）</t>
        </is>
      </c>
    </row>
    <row r="3">
      <c r="A3" s="122" t="inlineStr">
        <is>
          <t>序号</t>
        </is>
      </c>
      <c r="B3" s="122" t="inlineStr">
        <is>
          <t>条款</t>
        </is>
      </c>
      <c r="C3" s="122" t="inlineStr">
        <is>
          <t>内容</t>
        </is>
      </c>
    </row>
    <row r="4">
      <c r="A4" s="124" t="inlineStr">
        <is>
          <t>1</t>
        </is>
      </c>
      <c r="B4" s="125" t="inlineStr">
        <is>
          <t>报价有效期</t>
        </is>
      </c>
      <c r="C4" s="51" t="inlineStr">
        <is>
          <t>自报价之日起60天内有效。逾期报价可能因原材料价格、汇率及海运运价波动而调整，调整前以双方重新书面确认为准。</t>
        </is>
      </c>
    </row>
    <row r="5">
      <c r="A5" s="124" t="inlineStr">
        <is>
          <t>2</t>
        </is>
      </c>
      <c r="B5" s="125" t="inlineStr">
        <is>
          <t>交货周期</t>
        </is>
      </c>
      <c r="C5" s="51" t="inlineStr">
        <is>
          <t>合同生效并收到预付款后，设备及材料生产备货约45天；跨境运输、目的港清关及现场安装调试验收约75天，整体控制在120天以内，具体以合同及技术协议约定为准。</t>
        </is>
      </c>
    </row>
    <row r="6">
      <c r="A6" s="124" t="inlineStr">
        <is>
          <t>3</t>
        </is>
      </c>
      <c r="B6" s="125" t="inlineStr">
        <is>
          <t>付款方式</t>
        </is>
      </c>
      <c r="C6" s="51" t="inlineStr">
        <is>
          <t>合同签订后支付30%预付款；设备发货前支付40%；安装调试验收合格后支付25%；余款5%作为质保金，质保期满后支付。付款比例可按双方协商调整。</t>
        </is>
      </c>
    </row>
    <row r="7">
      <c r="A7" s="124" t="inlineStr">
        <is>
          <t>4</t>
        </is>
      </c>
      <c r="B7" s="125" t="inlineStr">
        <is>
          <t>运输方式</t>
        </is>
      </c>
      <c r="C7" s="51" t="inlineStr">
        <is>
          <t>国内公路运输至起运港，集装箱或散货海运至泰国口岸，目的港清关后公路运输至厂区。大型塔体、烟囱及超限风管采用分段或加固运输，超限件提前报备并办理相关手续。</t>
        </is>
      </c>
    </row>
    <row r="8">
      <c r="A8" s="124" t="inlineStr">
        <is>
          <t>5</t>
        </is>
      </c>
      <c r="B8" s="125" t="inlineStr">
        <is>
          <t>安装调试范围</t>
        </is>
      </c>
      <c r="C8" s="51" t="inlineStr">
        <is>
          <t>包含设备就位、管道及阀件安装、电气自控接线、单机试车、系统联动调试、达标测试配合及人员培训；不含土建基础施工、生产线支管接驳、第三方检测及消防/环保验收审批。</t>
        </is>
      </c>
    </row>
    <row r="9">
      <c r="A9" s="124" t="inlineStr">
        <is>
          <t>6</t>
        </is>
      </c>
      <c r="B9" s="125" t="inlineStr">
        <is>
          <t>质保期限</t>
        </is>
      </c>
      <c r="C9" s="51" t="inlineStr">
        <is>
          <t>自系统安装调试验收合格之日起12个月。风机、水泵等随机部件按原厂质保标准执行；人为损坏、误操作及易损件除外。</t>
        </is>
      </c>
    </row>
    <row r="10">
      <c r="A10" s="124" t="inlineStr">
        <is>
          <t>7</t>
        </is>
      </c>
      <c r="B10" s="125" t="inlineStr">
        <is>
          <t>税率及发票类型</t>
        </is>
      </c>
      <c r="C10" s="51" t="inlineStr">
        <is>
          <t>本报价按人民币未税价编制，税率13%，可开具增值税专用发票。如适用出口退税、免税政策或泰国当地税务要求，按合同约定及两国税务规定执行。</t>
        </is>
      </c>
    </row>
    <row r="11">
      <c r="A11" s="124" t="inlineStr">
        <is>
          <t>8</t>
        </is>
      </c>
      <c r="B11" s="125" t="inlineStr">
        <is>
          <t>报价包含内容</t>
        </is>
      </c>
      <c r="C11" s="51" t="inlineStr">
        <is>
          <t>设备及材料、安装辅材、包装、国内运输、出口报关港杂、国际海运及货运保险、泰国清关及内陆运输、现场卸车、安装调试、技术培训与竣工资料。</t>
        </is>
      </c>
    </row>
    <row r="12">
      <c r="A12" s="124" t="inlineStr">
        <is>
          <t>9</t>
        </is>
      </c>
      <c r="B12" s="125" t="inlineStr">
        <is>
          <t>报价不包含内容</t>
        </is>
      </c>
      <c r="C12" s="51" t="inlineStr">
        <is>
          <t>土建基础及防腐、甲方一次侧电源电缆与给排水接驳、生产线支管及接口、第三方检测费用、泰国当地关税/增值税（如需）、许可证件及不可抗力或甲方原因造成的费用。</t>
        </is>
      </c>
    </row>
    <row r="13">
      <c r="A13" s="124" t="inlineStr">
        <is>
          <t>10</t>
        </is>
      </c>
      <c r="B13" s="125" t="inlineStr">
        <is>
          <t>汇率及海外风险说明</t>
        </is>
      </c>
      <c r="C13" s="51" t="inlineStr">
        <is>
          <t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t>
        </is>
      </c>
    </row>
    <row r="14">
      <c r="A14" s="124" t="inlineStr">
        <is>
          <t>11</t>
        </is>
      </c>
      <c r="B14" s="125" t="inlineStr">
        <is>
          <t>其他说明</t>
        </is>
      </c>
      <c r="C14" s="51" t="inlineStr">
        <is>
          <t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t>
        </is>
      </c>
    </row>
    <row r="16">
      <c r="A16" s="129" t="inlineStr">
        <is>
          <t>说明：本报价单中所有金额均为人民币未税价，税额及含税总价以报价单首页自动计算为准。</t>
        </is>
      </c>
    </row>
  </sheetData>
  <mergeCells count="2">
    <mergeCell ref="A1:C1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2026-08-06T05:47:06Z</dcterms:created>
  <dcterms:modified xmlns:dcterms="http://purl.org/dc/terms/" xmlns:xsi="http://www.w3.org/2001/XMLSchema-instance" xsi:type="dcterms:W3CDTF">2026-08-06T05:48:27Z</dcterms:modified>
</cp:coreProperties>
</file>