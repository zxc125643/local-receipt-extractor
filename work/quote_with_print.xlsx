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2a6df58bae4f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报价单" sheetId="1" r:id="R74e6ac4a844f4a81"/>
    <x:sheet xmlns:r="http://schemas.openxmlformats.org/officeDocument/2006/relationships" name="报价说明" sheetId="2" r:id="Rd11a73339e0b49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0%"/>
    <x:numFmt numFmtId="202" formatCode="0"/>
  </x:numFmts>
  <x:fonts count="10">
    <x:font>
      <x:sz val="11"/>
      <x:name val="Carlito"/>
    </x:font>
    <x:font>
      <x:b/>
      <x:sz val="18"/>
      <x:color rgb="FFFFFFFF"/>
      <x:name val="Carlito"/>
    </x:font>
    <x:font>
      <x:sz val="10"/>
      <x:color rgb="FF1F2A30"/>
      <x:name val="Carlito"/>
    </x:font>
    <x:font>
      <x:b/>
      <x:sz val="10"/>
      <x:color rgb="FFFFFFFF"/>
      <x:name val="Carlito"/>
    </x:font>
    <x:font>
      <x:sz val="11"/>
      <x:color rgb="FF1F2A30"/>
      <x:name val="Carlito"/>
    </x:font>
    <x:font>
      <x:b/>
      <x:sz val="10"/>
      <x:color rgb="FF1F2A30"/>
      <x:name val="Carlito"/>
    </x:font>
    <x:font>
      <x:b/>
      <x:sz val="11"/>
      <x:color rgb="FF0B3C49"/>
      <x:name val="Carlito"/>
    </x:font>
    <x:font>
      <x:sz val="10"/>
      <x:color rgb="FF1F2A30"/>
      <x:name val="Carlito"/>
    </x:font>
    <x:font>
      <x:b/>
      <x:sz val="10"/>
      <x:color rgb="FF0B3C49"/>
      <x:name val="Carlito"/>
    </x:font>
    <x:font>
      <x:b/>
      <x:sz val="16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5F"/>
      </x:patternFill>
    </x:fill>
    <x:fill>
      <x:patternFill patternType="solid">
        <x:fgColor rgb="FFF2F6F8"/>
      </x:patternFill>
    </x:fill>
    <x:fill>
      <x:patternFill patternType="solid">
        <x:fgColor rgb="FFDDEBF0"/>
      </x:patternFill>
    </x:fill>
    <x:fill>
      <x:patternFill patternType="solid">
        <x:fgColor rgb="FF2E6E81"/>
      </x:patternFill>
    </x:fill>
    <x:fill>
      <x:patternFill patternType="solid">
        <x:fgColor rgb="FFDCE8ED"/>
      </x:patternFill>
    </x:fill>
    <x:fill>
      <x:patternFill patternType="solid">
        <x:fgColor rgb="FFF4F4F4"/>
      </x:patternFill>
    </x:fill>
    <x:fill>
      <x:patternFill patternType="solid">
        <x:fgColor rgb="FFFFFFFF"/>
      </x:patternFill>
    </x:fill>
  </x:fills>
  <x:borders count="10">
    <x:border/>
    <x:border>
      <x:left style="thin">
        <x:color rgb="FFC9D2D9"/>
      </x:left>
      <x:right style="thin">
        <x:color rgb="FFC9D2D9"/>
      </x:right>
      <x:top style="thin">
        <x:color rgb="FFC9D2D9"/>
      </x:top>
      <x:bottom style="thin">
        <x:color rgb="FFC9D2D9"/>
      </x:bottom>
    </x:border>
    <x:border>
      <x:left style="medium">
        <x:color rgb="FF2E6E81"/>
      </x:left>
      <x:top style="medium">
        <x:color rgb="FF2E6E81"/>
      </x:top>
    </x:border>
    <x:border>
      <x:top style="medium">
        <x:color rgb="FF2E6E81"/>
      </x:top>
    </x:border>
    <x:border>
      <x:right style="medium">
        <x:color rgb="FF2E6E81"/>
      </x:right>
      <x:top style="medium">
        <x:color rgb="FF2E6E81"/>
      </x:top>
    </x:border>
    <x:border>
      <x:left style="medium">
        <x:color rgb="FF2E6E81"/>
      </x:left>
    </x:border>
    <x:border>
      <x:right style="medium">
        <x:color rgb="FF2E6E81"/>
      </x:right>
    </x:border>
    <x:border>
      <x:left style="medium">
        <x:color rgb="FF2E6E81"/>
      </x:left>
      <x:bottom style="medium">
        <x:color rgb="FF2E6E81"/>
      </x:bottom>
    </x:border>
    <x:border>
      <x:bottom style="medium">
        <x:color rgb="FF2E6E81"/>
      </x:bottom>
    </x:border>
    <x:border>
      <x:right style="medium">
        <x:color rgb="FF2E6E81"/>
      </x:right>
      <x:bottom style="medium">
        <x:color rgb="FF2E6E81"/>
      </x:bottom>
    </x:border>
  </x:borders>
  <x:cellStyleXfs count="1">
    <x:xf numFmtId="0" fontId="0" fillId="0" borderId="0"/>
  </x:cellStyleXfs>
  <x:cellXfs count="16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0"/>
    </x:xf>
    <x:xf numFmtId="0" fontId="2" fillId="3" borderId="0" xfId="0" applyNumberFormat="1" applyFont="1" applyFill="1" applyBorder="1" applyAlignment="1">
      <x:alignment horizontal="center" wrapText="0"/>
    </x:xf>
    <x:xf numFmtId="0" fontId="2" fillId="3" borderId="0" xfId="0" applyNumberFormat="1" applyFont="1" applyFill="1" applyBorder="1" applyAlignment="1">
      <x:alignment horizontal="center" vertical="center" wrapText="0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0"/>
    </x:xf>
    <x:xf numFmtId="0" fontId="3" fillId="2" borderId="0" xfId="0" applyNumberFormat="1" applyFont="1" applyFill="1" applyBorder="1" applyAlignment="1">
      <x:alignment horizontal="center" wrapText="0"/>
    </x:xf>
    <x:xf numFmtId="0" fontId="3" fillId="2" borderId="0" xfId="0" applyNumberFormat="1" applyFont="1" applyFill="1" applyBorder="1" applyAlignment="1">
      <x:alignment horizontal="center" vertical="center" wrapText="0"/>
    </x:xf>
    <x:xf numFmtId="0" fontId="2" fillId="3" borderId="0" xfId="0" applyNumberFormat="1" applyFont="1" applyFill="1" applyBorder="1" applyAlignment="1">
      <x:alignment horizontal="left" wrapText="0"/>
    </x:xf>
    <x:xf numFmtId="0" fontId="2" fillId="3" borderId="0" xfId="0" applyNumberFormat="1" applyFont="1" applyFill="1" applyBorder="1" applyAlignment="1">
      <x:alignment horizontal="left" vertical="center" wrapText="0"/>
    </x:xf>
    <x:xf numFmtId="0" fontId="4" fillId="3" borderId="0" xfId="0" applyNumberFormat="1" applyFont="1" applyFill="1" applyBorder="1"/>
    <x:xf numFmtId="200" fontId="4" fillId="3" borderId="0" xfId="0" applyNumberFormat="1" applyFont="1" applyFill="1" applyBorder="1"/>
    <x:xf numFmtId="200" fontId="4" fillId="3" borderId="0" xfId="0" applyNumberFormat="1" applyFont="1" applyFill="1" applyBorder="1" applyAlignment="1">
      <x:alignment horizontal="right"/>
    </x:xf>
    <x:xf numFmtId="200" fontId="4" fillId="3" borderId="0" xfId="0" applyNumberFormat="1" applyFont="1" applyFill="1" applyBorder="1" applyAlignment="1">
      <x:alignment horizontal="right"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0"/>
    </x:xf>
    <x:xf numFmtId="0" fontId="5" fillId="4" borderId="0" xfId="0" applyNumberFormat="1" applyFont="1" applyFill="1" applyBorder="1" applyAlignment="1">
      <x:alignment horizontal="left" wrapText="0"/>
    </x:xf>
    <x:xf numFmtId="0" fontId="5" fillId="4" borderId="0" xfId="0" applyNumberFormat="1" applyFont="1" applyFill="1" applyBorder="1" applyAlignment="1">
      <x:alignment horizontal="left" vertical="center" wrapText="0"/>
    </x:xf>
    <x:xf numFmtId="0" fontId="6" fillId="4" borderId="0" xfId="0" applyNumberFormat="1" applyFont="1" applyFill="1" applyBorder="1"/>
    <x:xf numFmtId="200" fontId="6" fillId="4" borderId="0" xfId="0" applyNumberFormat="1" applyFont="1" applyFill="1" applyBorder="1"/>
    <x:xf numFmtId="200" fontId="6" fillId="4" borderId="0" xfId="0" applyNumberFormat="1" applyFont="1" applyFill="1" applyBorder="1" applyAlignment="1">
      <x:alignment horizontal="right"/>
    </x:xf>
    <x:xf numFmtId="200" fontId="6" fillId="4" borderId="0" xfId="0" applyNumberFormat="1" applyFont="1" applyFill="1" applyBorder="1" applyAlignment="1">
      <x:alignment horizontal="right" vertical="center"/>
    </x:xf>
    <x:xf numFmtId="201" fontId="6" fillId="4" borderId="0" xfId="0" applyNumberFormat="1" applyFont="1" applyFill="1" applyBorder="1"/>
    <x:xf numFmtId="201" fontId="6" fillId="4" borderId="0" xfId="0" applyNumberFormat="1" applyFont="1" applyFill="1" applyBorder="1" applyAlignment="1">
      <x:alignment horizontal="right"/>
    </x:xf>
    <x:xf numFmtId="201" fontId="6" fillId="4" borderId="0" xfId="0" applyNumberFormat="1" applyFont="1" applyFill="1" applyBorder="1" applyAlignment="1">
      <x:alignment horizontal="right" vertical="center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0"/>
    </x:xf>
    <x:xf numFmtId="0" fontId="5" fillId="6" borderId="0" xfId="0" applyNumberFormat="1" applyFont="1" applyFill="1" applyBorder="1" applyAlignment="1">
      <x:alignment horizontal="left" wrapText="0"/>
    </x:xf>
    <x:xf numFmtId="0" fontId="5" fillId="6" borderId="0" xfId="0" applyNumberFormat="1" applyFont="1" applyFill="1" applyBorder="1" applyAlignment="1">
      <x:alignment horizontal="left" vertical="center" wrapText="0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horizontal="left" wrapText="1"/>
    </x:xf>
    <x:xf numFmtId="0" fontId="7" fillId="0" borderId="1" xfId="0" applyNumberFormat="1" applyFont="1" applyFill="1" applyBorder="1" applyAlignment="1">
      <x:alignment horizontal="left" vertical="center" wrapText="1"/>
    </x:xf>
    <x:xf numFmtId="0" fontId="7" fillId="0" borderId="1" xfId="0" applyNumberFormat="1" applyFont="1" applyFill="1" applyBorder="1" applyAlignment="1">
      <x:alignment horizontal="center" vertical="center" wrapText="1"/>
    </x:xf>
    <x:xf numFmtId="202" fontId="7" fillId="0" borderId="1" xfId="0" applyNumberFormat="1" applyFont="1" applyFill="1" applyBorder="1" applyAlignment="1">
      <x:alignment horizontal="center" vertical="center" wrapText="1"/>
    </x:xf>
    <x:xf numFmtId="200" fontId="7" fillId="0" borderId="1" xfId="0" applyNumberFormat="1" applyFont="1" applyFill="1" applyBorder="1" applyAlignment="1">
      <x:alignment horizontal="left" vertical="center" wrapText="1"/>
    </x:xf>
    <x:xf numFmtId="200" fontId="7" fillId="0" borderId="1" xfId="0" applyNumberFormat="1" applyFont="1" applyFill="1" applyBorder="1" applyAlignment="1">
      <x:alignment horizontal="right"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left"/>
    </x:xf>
    <x:xf numFmtId="0" fontId="5" fillId="7" borderId="0" xfId="0" applyNumberFormat="1" applyFont="1" applyFill="1" applyBorder="1" applyAlignment="1">
      <x:alignment horizontal="left" vertical="center"/>
    </x:xf>
    <x:xf numFmtId="0" fontId="8" fillId="7" borderId="0" xfId="0" applyNumberFormat="1" applyFont="1" applyFill="1" applyBorder="1"/>
    <x:xf numFmtId="200" fontId="8" fillId="7" borderId="0" xfId="0" applyNumberFormat="1" applyFont="1" applyFill="1" applyBorder="1"/>
    <x:xf numFmtId="200" fontId="8" fillId="7" borderId="0" xfId="0" applyNumberFormat="1" applyFont="1" applyFill="1" applyBorder="1" applyAlignment="1">
      <x:alignment horizontal="right"/>
    </x:xf>
    <x:xf numFmtId="200" fontId="8" fillId="7" borderId="0" xfId="0" applyNumberFormat="1" applyFont="1" applyFill="1" applyBorder="1" applyAlignment="1">
      <x:alignment horizontal="right" vertical="center"/>
    </x:xf>
    <x:xf numFmtId="0" fontId="5" fillId="7" borderId="1" xfId="0" applyNumberFormat="1" applyFont="1" applyFill="1" applyBorder="1" applyAlignment="1">
      <x:alignment horizontal="left" vertical="center"/>
    </x:xf>
    <x:xf numFmtId="0" fontId="0" fillId="0" borderId="1" xfId="0" applyNumberFormat="1" applyFont="1" applyFill="1" applyBorder="1"/>
    <x:xf numFmtId="200" fontId="8" fillId="7" borderId="1" xfId="0" applyNumberFormat="1" applyFont="1" applyFill="1" applyBorder="1" applyAlignment="1">
      <x:alignment horizontal="right" vertic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left"/>
    </x:xf>
    <x:xf numFmtId="0" fontId="5" fillId="3" borderId="0" xfId="0" applyNumberFormat="1" applyFont="1" applyFill="1" applyBorder="1" applyAlignment="1">
      <x:alignment horizontal="left" vertical="center"/>
    </x:xf>
    <x:xf numFmtId="200" fontId="5" fillId="3" borderId="0" xfId="0" applyNumberFormat="1" applyFont="1" applyFill="1" applyBorder="1"/>
    <x:xf numFmtId="200" fontId="5" fillId="3" borderId="0" xfId="0" applyNumberFormat="1" applyFont="1" applyFill="1" applyBorder="1" applyAlignment="1">
      <x:alignment horizontal="right"/>
    </x:xf>
    <x:xf numFmtId="200" fontId="5" fillId="3" borderId="0" xfId="0" applyNumberFormat="1" applyFont="1" applyFill="1" applyBorder="1" applyAlignment="1">
      <x:alignment horizontal="right" vertical="center"/>
    </x:xf>
    <x:xf numFmtId="0" fontId="5" fillId="3" borderId="1" xfId="0" applyNumberFormat="1" applyFont="1" applyFill="1" applyBorder="1" applyAlignment="1">
      <x:alignment horizontal="left" vertical="center"/>
    </x:xf>
    <x:xf numFmtId="200" fontId="5" fillId="3" borderId="1" xfId="0" applyNumberFormat="1" applyFont="1" applyFill="1" applyBorder="1" applyAlignment="1">
      <x:alignment horizontal="right" vertical="center"/>
    </x:xf>
    <x:xf numFmtId="0" fontId="5" fillId="4" borderId="0" xfId="0" applyNumberFormat="1" applyFont="1" applyFill="1" applyBorder="1" applyAlignment="1">
      <x:alignment horizontal="left"/>
    </x:xf>
    <x:xf numFmtId="0" fontId="5" fillId="4" borderId="0" xfId="0" applyNumberFormat="1" applyFont="1" applyFill="1" applyBorder="1" applyAlignment="1">
      <x:alignment horizontal="left" vertical="center"/>
    </x:xf>
    <x:xf numFmtId="200" fontId="5" fillId="4" borderId="0" xfId="0" applyNumberFormat="1" applyFont="1" applyFill="1" applyBorder="1"/>
    <x:xf numFmtId="200" fontId="5" fillId="4" borderId="0" xfId="0" applyNumberFormat="1" applyFont="1" applyFill="1" applyBorder="1" applyAlignment="1">
      <x:alignment horizontal="right"/>
    </x:xf>
    <x:xf numFmtId="200" fontId="5" fillId="4" borderId="0" xfId="0" applyNumberFormat="1" applyFont="1" applyFill="1" applyBorder="1" applyAlignment="1">
      <x:alignment horizontal="right" vertical="center"/>
    </x:xf>
    <x:xf numFmtId="0" fontId="5" fillId="4" borderId="1" xfId="0" applyNumberFormat="1" applyFont="1" applyFill="1" applyBorder="1" applyAlignment="1">
      <x:alignment horizontal="left" vertical="center"/>
    </x:xf>
    <x:xf numFmtId="200" fontId="5" fillId="4" borderId="1" xfId="0" applyNumberFormat="1" applyFont="1" applyFill="1" applyBorder="1" applyAlignment="1">
      <x:alignment horizontal="right" vertical="center"/>
    </x:xf>
    <x:xf numFmtId="0" fontId="6" fillId="4" borderId="0" xfId="0" applyNumberFormat="1" applyFont="1" applyFill="1" applyBorder="1" applyAlignment="1">
      <x:alignment horizontal="left"/>
    </x:xf>
    <x:xf numFmtId="0" fontId="6" fillId="4" borderId="0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/>
    <x:xf numFmtId="200" fontId="0" fillId="4" borderId="0" xfId="0" applyNumberFormat="1" applyFont="1" applyFill="1" applyBorder="1"/>
    <x:xf numFmtId="0" fontId="6" fillId="4" borderId="1" xfId="0" applyNumberFormat="1" applyFont="1" applyFill="1" applyBorder="1" applyAlignment="1">
      <x:alignment horizontal="left" vertical="center"/>
    </x:xf>
    <x:xf numFmtId="200" fontId="6" fillId="4" borderId="1" xfId="0" applyNumberFormat="1" applyFont="1" applyFill="1" applyBorder="1" applyAlignment="1">
      <x:alignment horizontal="right" vertical="center"/>
    </x:xf>
    <x:xf numFmtId="201" fontId="0" fillId="0" borderId="0" xfId="0" applyNumberFormat="1" applyFont="1" applyFill="1" applyBorder="1"/>
    <x:xf numFmtId="201" fontId="0" fillId="4" borderId="0" xfId="0" applyNumberFormat="1" applyFont="1" applyFill="1" applyBorder="1"/>
    <x:xf numFmtId="201" fontId="6" fillId="4" borderId="1" xfId="0" applyNumberFormat="1" applyFont="1" applyFill="1" applyBorder="1" applyAlignment="1">
      <x:alignment horizontal="right" vertical="center"/>
    </x:xf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left" wrapText="1"/>
    </x:xf>
    <x:xf numFmtId="0" fontId="5" fillId="4" borderId="0" xfId="0" applyNumberFormat="1" applyFont="1" applyFill="1" applyBorder="1" applyAlignment="1">
      <x:alignment horizontal="left" vertical="center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horizontal="left" wrapText="1"/>
    </x:xf>
    <x:xf numFmtId="0" fontId="2" fillId="8" borderId="0" xfId="0" applyNumberFormat="1" applyFont="1" applyFill="1" applyBorder="1" applyAlignment="1">
      <x:alignment horizontal="left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8" borderId="2" xfId="0" applyNumberFormat="1" applyFont="1" applyFill="1" applyBorder="1"/>
    <x:xf numFmtId="0" fontId="0" fillId="8" borderId="3" xfId="0" applyNumberFormat="1" applyFont="1" applyFill="1" applyBorder="1"/>
    <x:xf numFmtId="0" fontId="5" fillId="8" borderId="2" xfId="0" applyNumberFormat="1" applyFont="1" applyFill="1" applyBorder="1"/>
    <x:xf numFmtId="0" fontId="5" fillId="8" borderId="3" xfId="0" applyNumberFormat="1" applyFont="1" applyFill="1" applyBorder="1"/>
    <x:xf numFmtId="0" fontId="5" fillId="8" borderId="2" xfId="0" applyNumberFormat="1" applyFont="1" applyFill="1" applyBorder="1" applyAlignment="1">
      <x:alignment wrapText="0"/>
    </x:xf>
    <x:xf numFmtId="0" fontId="5" fillId="8" borderId="3" xfId="0" applyNumberFormat="1" applyFont="1" applyFill="1" applyBorder="1" applyAlignment="1">
      <x:alignment wrapText="0"/>
    </x:xf>
    <x:xf numFmtId="0" fontId="5" fillId="8" borderId="2" xfId="0" applyNumberFormat="1" applyFont="1" applyFill="1" applyBorder="1" applyAlignment="1">
      <x:alignment horizontal="left" wrapText="0"/>
    </x:xf>
    <x:xf numFmtId="0" fontId="5" fillId="8" borderId="3" xfId="0" applyNumberFormat="1" applyFont="1" applyFill="1" applyBorder="1" applyAlignment="1">
      <x:alignment horizontal="left" wrapText="0"/>
    </x:xf>
    <x:xf numFmtId="0" fontId="5" fillId="8" borderId="2" xfId="0" applyNumberFormat="1" applyFont="1" applyFill="1" applyBorder="1" applyAlignment="1">
      <x:alignment horizontal="left" vertical="center" wrapText="0"/>
    </x:xf>
    <x:xf numFmtId="0" fontId="5" fillId="8" borderId="3" xfId="0" applyNumberFormat="1" applyFont="1" applyFill="1" applyBorder="1" applyAlignment="1">
      <x:alignment horizontal="left" vertical="center" wrapText="0"/>
    </x:xf>
    <x:xf numFmtId="0" fontId="0" fillId="8" borderId="4" xfId="0" applyNumberFormat="1" applyFont="1" applyFill="1" applyBorder="1"/>
    <x:xf numFmtId="0" fontId="5" fillId="8" borderId="4" xfId="0" applyNumberFormat="1" applyFont="1" applyFill="1" applyBorder="1"/>
    <x:xf numFmtId="0" fontId="5" fillId="8" borderId="4" xfId="0" applyNumberFormat="1" applyFont="1" applyFill="1" applyBorder="1" applyAlignment="1">
      <x:alignment wrapText="0"/>
    </x:xf>
    <x:xf numFmtId="0" fontId="5" fillId="8" borderId="4" xfId="0" applyNumberFormat="1" applyFont="1" applyFill="1" applyBorder="1" applyAlignment="1">
      <x:alignment horizontal="left" wrapText="0"/>
    </x:xf>
    <x:xf numFmtId="0" fontId="5" fillId="8" borderId="4" xfId="0" applyNumberFormat="1" applyFont="1" applyFill="1" applyBorder="1" applyAlignment="1">
      <x:alignment horizontal="left" vertical="center" wrapText="0"/>
    </x:xf>
    <x:xf numFmtId="0" fontId="0" fillId="8" borderId="5" xfId="0" applyNumberFormat="1" applyFont="1" applyFill="1" applyBorder="1"/>
    <x:xf numFmtId="0" fontId="2" fillId="8" borderId="5" xfId="0" applyNumberFormat="1" applyFont="1" applyFill="1" applyBorder="1"/>
    <x:xf numFmtId="0" fontId="2" fillId="8" borderId="5" xfId="0" applyNumberFormat="1" applyFont="1" applyFill="1" applyBorder="1" applyAlignment="1">
      <x:alignment wrapText="0"/>
    </x:xf>
    <x:xf numFmtId="0" fontId="2" fillId="8" borderId="0" xfId="0" applyNumberFormat="1" applyFont="1" applyFill="1" applyBorder="1" applyAlignment="1">
      <x:alignment wrapText="0"/>
    </x:xf>
    <x:xf numFmtId="0" fontId="2" fillId="8" borderId="5" xfId="0" applyNumberFormat="1" applyFont="1" applyFill="1" applyBorder="1" applyAlignment="1">
      <x:alignment horizontal="left" wrapText="0"/>
    </x:xf>
    <x:xf numFmtId="0" fontId="2" fillId="8" borderId="0" xfId="0" applyNumberFormat="1" applyFont="1" applyFill="1" applyBorder="1" applyAlignment="1">
      <x:alignment horizontal="left" wrapText="0"/>
    </x:xf>
    <x:xf numFmtId="0" fontId="2" fillId="8" borderId="5" xfId="0" applyNumberFormat="1" applyFont="1" applyFill="1" applyBorder="1" applyAlignment="1">
      <x:alignment horizontal="left" vertical="center" wrapText="0"/>
    </x:xf>
    <x:xf numFmtId="0" fontId="2" fillId="8" borderId="0" xfId="0" applyNumberFormat="1" applyFont="1" applyFill="1" applyBorder="1" applyAlignment="1">
      <x:alignment horizontal="left" vertical="center" wrapText="0"/>
    </x:xf>
    <x:xf numFmtId="0" fontId="0" fillId="8" borderId="6" xfId="0" applyNumberFormat="1" applyFont="1" applyFill="1" applyBorder="1"/>
    <x:xf numFmtId="0" fontId="2" fillId="8" borderId="6" xfId="0" applyNumberFormat="1" applyFont="1" applyFill="1" applyBorder="1"/>
    <x:xf numFmtId="0" fontId="2" fillId="8" borderId="6" xfId="0" applyNumberFormat="1" applyFont="1" applyFill="1" applyBorder="1" applyAlignment="1">
      <x:alignment wrapText="0"/>
    </x:xf>
    <x:xf numFmtId="0" fontId="2" fillId="8" borderId="6" xfId="0" applyNumberFormat="1" applyFont="1" applyFill="1" applyBorder="1" applyAlignment="1">
      <x:alignment horizontal="left" wrapText="0"/>
    </x:xf>
    <x:xf numFmtId="0" fontId="2" fillId="8" borderId="6" xfId="0" applyNumberFormat="1" applyFont="1" applyFill="1" applyBorder="1" applyAlignment="1">
      <x:alignment horizontal="left" vertical="center" wrapText="0"/>
    </x:xf>
    <x:xf numFmtId="0" fontId="0" fillId="8" borderId="7" xfId="0" applyNumberFormat="1" applyFont="1" applyFill="1" applyBorder="1"/>
    <x:xf numFmtId="0" fontId="0" fillId="8" borderId="8" xfId="0" applyNumberFormat="1" applyFont="1" applyFill="1" applyBorder="1"/>
    <x:xf numFmtId="0" fontId="2" fillId="8" borderId="7" xfId="0" applyNumberFormat="1" applyFont="1" applyFill="1" applyBorder="1"/>
    <x:xf numFmtId="0" fontId="2" fillId="8" borderId="8" xfId="0" applyNumberFormat="1" applyFont="1" applyFill="1" applyBorder="1"/>
    <x:xf numFmtId="0" fontId="2" fillId="8" borderId="7" xfId="0" applyNumberFormat="1" applyFont="1" applyFill="1" applyBorder="1" applyAlignment="1">
      <x:alignment wrapText="0"/>
    </x:xf>
    <x:xf numFmtId="0" fontId="2" fillId="8" borderId="8" xfId="0" applyNumberFormat="1" applyFont="1" applyFill="1" applyBorder="1" applyAlignment="1">
      <x:alignment wrapText="0"/>
    </x:xf>
    <x:xf numFmtId="0" fontId="2" fillId="8" borderId="7" xfId="0" applyNumberFormat="1" applyFont="1" applyFill="1" applyBorder="1" applyAlignment="1">
      <x:alignment horizontal="left" wrapText="0"/>
    </x:xf>
    <x:xf numFmtId="0" fontId="2" fillId="8" borderId="8" xfId="0" applyNumberFormat="1" applyFont="1" applyFill="1" applyBorder="1" applyAlignment="1">
      <x:alignment horizontal="left" wrapText="0"/>
    </x:xf>
    <x:xf numFmtId="0" fontId="2" fillId="8" borderId="7" xfId="0" applyNumberFormat="1" applyFont="1" applyFill="1" applyBorder="1" applyAlignment="1">
      <x:alignment horizontal="left" vertical="center" wrapText="0"/>
    </x:xf>
    <x:xf numFmtId="0" fontId="2" fillId="8" borderId="8" xfId="0" applyNumberFormat="1" applyFont="1" applyFill="1" applyBorder="1" applyAlignment="1">
      <x:alignment horizontal="left" vertical="center" wrapText="0"/>
    </x:xf>
    <x:xf numFmtId="0" fontId="0" fillId="8" borderId="9" xfId="0" applyNumberFormat="1" applyFont="1" applyFill="1" applyBorder="1"/>
    <x:xf numFmtId="0" fontId="2" fillId="8" borderId="9" xfId="0" applyNumberFormat="1" applyFont="1" applyFill="1" applyBorder="1"/>
    <x:xf numFmtId="0" fontId="2" fillId="8" borderId="9" xfId="0" applyNumberFormat="1" applyFont="1" applyFill="1" applyBorder="1" applyAlignment="1">
      <x:alignment wrapText="0"/>
    </x:xf>
    <x:xf numFmtId="0" fontId="2" fillId="8" borderId="9" xfId="0" applyNumberFormat="1" applyFont="1" applyFill="1" applyBorder="1" applyAlignment="1">
      <x:alignment horizontal="left" wrapText="0"/>
    </x:xf>
    <x:xf numFmtId="0" fontId="2" fillId="8" borderId="9" xfId="0" applyNumberFormat="1" applyFont="1" applyFill="1" applyBorder="1" applyAlignment="1">
      <x:alignment horizontal="left" vertical="center" wrapText="0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wrapText="1"/>
    </x:xf>
    <x:xf numFmtId="0" fontId="9" fillId="2" borderId="0" xfId="0" applyNumberFormat="1" applyFont="1" applyFill="1" applyBorder="1" applyAlignment="1">
      <x:alignment horizontal="center" wrapText="1"/>
    </x:xf>
    <x:xf numFmtId="0" fontId="9" fillId="2" borderId="0" xfId="0" applyNumberFormat="1" applyFont="1" applyFill="1" applyBorder="1" applyAlignment="1">
      <x:alignment horizontal="center" vertical="center" wrapText="1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horizontal="center" wrapText="1"/>
    </x:xf>
    <x:xf numFmtId="0" fontId="7" fillId="3" borderId="0" xfId="0" applyNumberFormat="1" applyFont="1" applyFill="1" applyBorder="1" applyAlignment="1">
      <x:alignment horizontal="center" vertical="center" wrapText="1"/>
    </x:xf>
    <x:xf numFmtId="0" fontId="3" fillId="5" borderId="1" xfId="0" applyNumberFormat="1" applyFont="1" applyFill="1" applyBorder="1" applyAlignment="1">
      <x:alignment horizont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 applyAlignment="1">
      <x:alignment horizontal="left" vertical="center" wrapText="1"/>
    </x:xf>
    <x:xf numFmtId="0" fontId="7" fillId="3" borderId="1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 applyAlignment="1">
      <x:alignment horizontal="left" vertical="center" wrapText="1"/>
    </x:xf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horizontal="left" wrapText="1"/>
    </x:xf>
    <x:xf numFmtId="0" fontId="7" fillId="4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6253afdecb404a" /><Relationship Type="http://schemas.openxmlformats.org/officeDocument/2006/relationships/theme" Target="/xl/theme/theme1.xml" Id="Rcdb0178cde394f0f" /><Relationship Type="http://schemas.openxmlformats.org/officeDocument/2006/relationships/sharedStrings" Target="/xl/sharedStrings.xml" Id="R22da7ca894084028" /><Relationship Type="http://schemas.openxmlformats.org/officeDocument/2006/relationships/worksheet" Target="/xl/worksheets/sheet1.xml" Id="R74e6ac4a844f4a81" /><Relationship Type="http://schemas.openxmlformats.org/officeDocument/2006/relationships/worksheet" Target="/xl/worksheets/sheet2.xml" Id="Rd11a73339e0b49a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8" hidden="0" customWidth="1"/>
    <x:col min="5" max="5" width="7" hidden="0" customWidth="1"/>
    <x:col min="6" max="6" width="8" hidden="0" customWidth="1"/>
    <x:col min="7" max="7" width="13" hidden="0" customWidth="1"/>
    <x:col min="8" max="8" width="15" hidden="0" customWidth="1"/>
    <x:col min="9" max="9" width="15" hidden="0" customWidth="1"/>
    <x:col min="10" max="10" width="26" hidden="0" customWidth="1"/>
  </x:cols>
  <x:sheetData>
    <x:row r="1" ht="52" customHeight="1">
      <x:c r="A1" s="5" t="str">
        <x:v>汇钻科技(泰国)股份有限公司（一期）车间废气处理及送新风工程
工 程 报 价 单</x:v>
      </x:c>
      <x:c r="B1" s="5" t="str">
        <x:v>汇钻科技(泰国)股份有限公司（一期）车间废气处理及送新风工程
工 程 报 价 单</x:v>
      </x:c>
      <x:c r="C1" s="5" t="str">
        <x:v>汇钻科技(泰国)股份有限公司（一期）车间废气处理及送新风工程
工 程 报 价 单</x:v>
      </x:c>
      <x:c r="D1" s="5" t="str">
        <x:v>汇钻科技(泰国)股份有限公司（一期）车间废气处理及送新风工程
工 程 报 价 单</x:v>
      </x:c>
      <x:c r="E1" s="5" t="str">
        <x:v>汇钻科技(泰国)股份有限公司（一期）车间废气处理及送新风工程
工 程 报 价 单</x:v>
      </x:c>
      <x:c r="F1" s="5" t="str">
        <x:v>汇钻科技(泰国)股份有限公司（一期）车间废气处理及送新风工程
工 程 报 价 单</x:v>
      </x:c>
      <x:c r="G1" s="5" t="str">
        <x:v>汇钻科技(泰国)股份有限公司（一期）车间废气处理及送新风工程
工 程 报 价 单</x:v>
      </x:c>
      <x:c r="H1" s="5" t="str">
        <x:v>汇钻科技(泰国)股份有限公司（一期）车间废气处理及送新风工程
工 程 报 价 单</x:v>
      </x:c>
      <x:c r="I1" s="5" t="str">
        <x:v>汇钻科技(泰国)股份有限公司（一期）车间废气处理及送新风工程
工 程 报 价 单</x:v>
      </x:c>
      <x:c r="J1" s="5" t="str">
        <x:v>汇钻科技(泰国)股份有限公司（一期）车间废气处理及送新风工程
工 程 报 价 单</x:v>
      </x:c>
    </x:row>
    <x:row r="2" ht="24" customHeight="1">
      <x:c r="A2" s="10" t="str">
        <x:v>报价单编号：QY-2026-001    报价日期：2026年08月06日    币种：人民币（CNY）</x:v>
      </x:c>
      <x:c r="B2" s="10" t="str">
        <x:v>报价单编号：QY-2026-001    报价日期：2026年08月06日    币种：人民币（CNY）</x:v>
      </x:c>
      <x:c r="C2" s="10" t="str">
        <x:v>报价单编号：QY-2026-001    报价日期：2026年08月06日    币种：人民币（CNY）</x:v>
      </x:c>
      <x:c r="D2" s="10" t="str">
        <x:v>报价单编号：QY-2026-001    报价日期：2026年08月06日    币种：人民币（CNY）</x:v>
      </x:c>
      <x:c r="E2" s="10" t="str">
        <x:v>报价单编号：QY-2026-001    报价日期：2026年08月06日    币种：人民币（CNY）</x:v>
      </x:c>
      <x:c r="F2" s="10" t="str">
        <x:v>报价单编号：QY-2026-001    报价日期：2026年08月06日    币种：人民币（CNY）</x:v>
      </x:c>
      <x:c r="G2" s="10" t="str">
        <x:v>报价单编号：QY-2026-001    报价日期：2026年08月06日    币种：人民币（CNY）</x:v>
      </x:c>
      <x:c r="H2" s="10" t="str">
        <x:v>报价单编号：QY-2026-001    报价日期：2026年08月06日    币种：人民币（CNY）</x:v>
      </x:c>
      <x:c r="I2" s="10" t="str">
        <x:v>报价单编号：QY-2026-001    报价日期：2026年08月06日    币种：人民币（CNY）</x:v>
      </x:c>
      <x:c r="J2" s="10" t="str">
        <x:v>报价单编号：QY-2026-001    报价日期：2026年08月06日    币种：人民币（CNY）</x:v>
      </x:c>
    </x:row>
    <x:row r="3" ht="24" customHeight="1">
      <x:c r="A3" s="10" t="str">
        <x:v>报价单位：待填写    联系人：待填写    联系电话：待填写    电子邮箱：待填写</x:v>
      </x:c>
      <x:c r="B3" s="10" t="str">
        <x:v>报价单位：待填写    联系人：待填写    联系电话：待填写    电子邮箱：待填写</x:v>
      </x:c>
      <x:c r="C3" s="10" t="str">
        <x:v>报价单位：待填写    联系人：待填写    联系电话：待填写    电子邮箱：待填写</x:v>
      </x:c>
      <x:c r="D3" s="10" t="str">
        <x:v>报价单位：待填写    联系人：待填写    联系电话：待填写    电子邮箱：待填写</x:v>
      </x:c>
      <x:c r="E3" s="10" t="str">
        <x:v>报价单位：待填写    联系人：待填写    联系电话：待填写    电子邮箱：待填写</x:v>
      </x:c>
      <x:c r="F3" s="10" t="str">
        <x:v>报价单位：待填写    联系人：待填写    联系电话：待填写    电子邮箱：待填写</x:v>
      </x:c>
      <x:c r="G3" s="10" t="str">
        <x:v>报价单位：待填写    联系人：待填写    联系电话：待填写    电子邮箱：待填写</x:v>
      </x:c>
      <x:c r="H3" s="10" t="str">
        <x:v>报价单位：待填写    联系人：待填写    联系电话：待填写    电子邮箱：待填写</x:v>
      </x:c>
      <x:c r="I3" s="10" t="str">
        <x:v>报价单位：待填写    联系人：待填写    联系电话：待填写    电子邮箱：待填写</x:v>
      </x:c>
      <x:c r="J3" s="10" t="str">
        <x:v>报价单位：待填写    联系人：待填写    联系电话：待填写    电子邮箱：待填写</x:v>
      </x:c>
    </x:row>
    <x:row r="4" ht="24" customHeight="1">
      <x:c r="A4" s="10" t="str">
        <x:v>项目名称：汇钻科技(泰国)股份有限公司（一期）车间废气处理及送新风工程</x:v>
      </x:c>
      <x:c r="B4" s="10" t="str">
        <x:v>项目名称：汇钻科技(泰国)股份有限公司（一期）车间废气处理及送新风工程</x:v>
      </x:c>
      <x:c r="C4" s="10" t="str">
        <x:v>项目名称：汇钻科技(泰国)股份有限公司（一期）车间废气处理及送新风工程</x:v>
      </x:c>
      <x:c r="D4" s="10" t="str">
        <x:v>项目名称：汇钻科技(泰国)股份有限公司（一期）车间废气处理及送新风工程</x:v>
      </x:c>
      <x:c r="E4" s="10" t="str">
        <x:v>项目名称：汇钻科技(泰国)股份有限公司（一期）车间废气处理及送新风工程</x:v>
      </x:c>
      <x:c r="F4" s="10" t="str">
        <x:v>项目名称：汇钻科技(泰国)股份有限公司（一期）车间废气处理及送新风工程</x:v>
      </x:c>
      <x:c r="G4" s="10" t="str">
        <x:v>项目名称：汇钻科技(泰国)股份有限公司（一期）车间废气处理及送新风工程</x:v>
      </x:c>
      <x:c r="H4" s="10" t="str">
        <x:v>项目名称：汇钻科技(泰国)股份有限公司（一期）车间废气处理及送新风工程</x:v>
      </x:c>
      <x:c r="I4" s="10" t="str">
        <x:v>项目名称：汇钻科技(泰国)股份有限公司（一期）车间废气处理及送新风工程</x:v>
      </x:c>
      <x:c r="J4" s="10" t="str">
        <x:v>项目名称：汇钻科技(泰国)股份有限公司（一期）车间废气处理及送新风工程</x:v>
      </x:c>
    </x:row>
    <x:row r="5" ht="8" customHeight="1"/>
    <x:row r="6" ht="26" customHeight="1">
      <x:c r="A6" s="14" t="str">
        <x:v>报 价 汇 总</x:v>
      </x:c>
      <x:c r="B6" s="14" t="str">
        <x:v>报 价 汇 总</x:v>
      </x:c>
      <x:c r="C6" s="14" t="str">
        <x:v>报 价 汇 总</x:v>
      </x:c>
      <x:c r="D6" s="14" t="str">
        <x:v>报 价 汇 总</x:v>
      </x:c>
      <x:c r="E6" s="14" t="str">
        <x:v>报 价 汇 总</x:v>
      </x:c>
      <x:c r="F6" s="14" t="str">
        <x:v>报 价 汇 总</x:v>
      </x:c>
      <x:c r="G6" s="14" t="str">
        <x:v>报 价 汇 总</x:v>
      </x:c>
      <x:c r="H6" s="14" t="str">
        <x:v>报 价 汇 总</x:v>
      </x:c>
      <x:c r="I6" s="14" t="str">
        <x:v>报 价 汇 总</x:v>
      </x:c>
      <x:c r="J6" s="14" t="str">
        <x:v>报 价 汇 总</x:v>
      </x:c>
    </x:row>
    <x:row r="7" ht="24" customHeight="1">
      <x:c r="A7" s="16" t="str">
        <x:v>设备及材料小计（第一至十六项）</x:v>
      </x:c>
      <x:c r="B7" s="16" t="str">
        <x:v>设备及材料小计（第一至十六项）</x:v>
      </x:c>
      <x:c r="C7" s="16" t="str">
        <x:v>设备及材料小计（第一至十六项）</x:v>
      </x:c>
      <x:c r="D7" s="16" t="str">
        <x:v>设备及材料小计（第一至十六项）</x:v>
      </x:c>
      <x:c r="E7" s="16" t="str">
        <x:v>设备及材料小计（第一至十六项）</x:v>
      </x:c>
      <x:c r="H7" s="20" t="n">
        <x:f>$H$37+$H$57+$H$77+$H$84+$H$91+$H$99+$H$106+$H$113+$H$120+$H$128+$H$136+$H$142+$H$148+$H$154+$H$161+$H$168</x:f>
        <x:v>2365120</x:v>
      </x:c>
    </x:row>
    <x:row r="8" ht="24" customHeight="1">
      <x:c r="A8" s="16" t="str">
        <x:v>辅材及配套费用（第十七项）</x:v>
      </x:c>
      <x:c r="B8" s="16" t="str">
        <x:v>辅材及配套费用（第十七项）</x:v>
      </x:c>
      <x:c r="C8" s="16" t="str">
        <x:v>辅材及配套费用（第十七项）</x:v>
      </x:c>
      <x:c r="D8" s="16" t="str">
        <x:v>辅材及配套费用（第十七项）</x:v>
      </x:c>
      <x:c r="E8" s="16" t="str">
        <x:v>辅材及配套费用（第十七项）</x:v>
      </x:c>
      <x:c r="H8" s="20" t="n">
        <x:f>$H$178</x:f>
        <x:v>233000</x:v>
      </x:c>
    </x:row>
    <x:row r="9" ht="24" customHeight="1">
      <x:c r="A9" s="16" t="str">
        <x:v>包装及运输费用（第十八项）</x:v>
      </x:c>
      <x:c r="B9" s="16" t="str">
        <x:v>包装及运输费用（第十八项）</x:v>
      </x:c>
      <x:c r="C9" s="16" t="str">
        <x:v>包装及运输费用（第十八项）</x:v>
      </x:c>
      <x:c r="D9" s="16" t="str">
        <x:v>包装及运输费用（第十八项）</x:v>
      </x:c>
      <x:c r="E9" s="16" t="str">
        <x:v>包装及运输费用（第十八项）</x:v>
      </x:c>
      <x:c r="H9" s="20" t="n">
        <x:f>$H$186</x:f>
        <x:v>342000</x:v>
      </x:c>
    </x:row>
    <x:row r="10" ht="24" customHeight="1">
      <x:c r="A10" s="16" t="str">
        <x:v>安装调试及技术服务费（第十九项）</x:v>
      </x:c>
      <x:c r="B10" s="16" t="str">
        <x:v>安装调试及技术服务费（第十九项）</x:v>
      </x:c>
      <x:c r="C10" s="16" t="str">
        <x:v>安装调试及技术服务费（第十九项）</x:v>
      </x:c>
      <x:c r="D10" s="16" t="str">
        <x:v>安装调试及技术服务费（第十九项）</x:v>
      </x:c>
      <x:c r="E10" s="16" t="str">
        <x:v>安装调试及技术服务费（第十九项）</x:v>
      </x:c>
      <x:c r="H10" s="20" t="n">
        <x:f>$H$196</x:f>
        <x:v>663000</x:v>
      </x:c>
    </x:row>
    <x:row r="11" ht="24" customHeight="1">
      <x:c r="A11" s="25" t="str">
        <x:v>未税合计</x:v>
      </x:c>
      <x:c r="B11" s="25" t="str">
        <x:v>未税合计</x:v>
      </x:c>
      <x:c r="C11" s="25" t="str">
        <x:v>未税合计</x:v>
      </x:c>
      <x:c r="D11" s="25" t="str">
        <x:v>未税合计</x:v>
      </x:c>
      <x:c r="E11" s="25" t="str">
        <x:v>未税合计</x:v>
      </x:c>
      <x:c r="H11" s="29" t="n">
        <x:f>SUM($H$7:$H$10)</x:f>
        <x:v>3603120</x:v>
      </x:c>
    </x:row>
    <x:row r="12" ht="24" customHeight="1">
      <x:c r="A12" s="25" t="str">
        <x:v>增值税税率</x:v>
      </x:c>
      <x:c r="B12" s="25" t="str">
        <x:v>增值税税率</x:v>
      </x:c>
      <x:c r="C12" s="25" t="str">
        <x:v>增值税税率</x:v>
      </x:c>
      <x:c r="D12" s="25" t="str">
        <x:v>增值税税率</x:v>
      </x:c>
      <x:c r="E12" s="25" t="str">
        <x:v>增值税税率</x:v>
      </x:c>
      <x:c r="H12" s="32" t="n">
        <x:v>0.13</x:v>
      </x:c>
    </x:row>
    <x:row r="13" ht="24" customHeight="1">
      <x:c r="A13" s="25" t="str">
        <x:v>税额</x:v>
      </x:c>
      <x:c r="B13" s="25" t="str">
        <x:v>税额</x:v>
      </x:c>
      <x:c r="C13" s="25" t="str">
        <x:v>税额</x:v>
      </x:c>
      <x:c r="D13" s="25" t="str">
        <x:v>税额</x:v>
      </x:c>
      <x:c r="E13" s="25" t="str">
        <x:v>税额</x:v>
      </x:c>
      <x:c r="H13" s="29" t="n">
        <x:f>$H$11*$H$12</x:f>
        <x:v>468405.60000000003</x:v>
      </x:c>
    </x:row>
    <x:row r="14" ht="24" customHeight="1">
      <x:c r="A14" s="25" t="str">
        <x:v>含税总价</x:v>
      </x:c>
      <x:c r="B14" s="25" t="str">
        <x:v>含税总价</x:v>
      </x:c>
      <x:c r="C14" s="25" t="str">
        <x:v>含税总价</x:v>
      </x:c>
      <x:c r="D14" s="25" t="str">
        <x:v>含税总价</x:v>
      </x:c>
      <x:c r="E14" s="25" t="str">
        <x:v>含税总价</x:v>
      </x:c>
      <x:c r="H14" s="29" t="n">
        <x:f>$H$11+$H$13</x:f>
        <x:v>4071525.6</x:v>
      </x:c>
    </x:row>
    <x:row r="15" ht="30" customHeight="1">
      <x:c r="A15" s="35" t="str">
        <x:v>说明：本报价含设备材料、安装辅材、包装运输、国际海运及保险、泰国当地运输、安装调试和培训；不含土建基础及防腐、甲方一次侧电源进线、给排水接驳、生产线支管、第三方检测及泰国当地关税（如需）。</x:v>
      </x:c>
      <x:c r="B15" s="35" t="str">
        <x:v>说明：本报价含设备材料、安装辅材、包装运输、国际海运及保险、泰国当地运输、安装调试和培训；不含土建基础及防腐、甲方一次侧电源进线、给排水接驳、生产线支管、第三方检测及泰国当地关税（如需）。</x:v>
      </x:c>
      <x:c r="C15" s="35" t="str">
        <x:v>说明：本报价含设备材料、安装辅材、包装运输、国际海运及保险、泰国当地运输、安装调试和培训；不含土建基础及防腐、甲方一次侧电源进线、给排水接驳、生产线支管、第三方检测及泰国当地关税（如需）。</x:v>
      </x:c>
      <x:c r="D15" s="35" t="str">
        <x:v>说明：本报价含设备材料、安装辅材、包装运输、国际海运及保险、泰国当地运输、安装调试和培训；不含土建基础及防腐、甲方一次侧电源进线、给排水接驳、生产线支管、第三方检测及泰国当地关税（如需）。</x:v>
      </x:c>
      <x:c r="E15" s="35" t="str">
        <x:v>说明：本报价含设备材料、安装辅材、包装运输、国际海运及保险、泰国当地运输、安装调试和培训；不含土建基础及防腐、甲方一次侧电源进线、给排水接驳、生产线支管、第三方检测及泰国当地关税（如需）。</x:v>
      </x:c>
      <x:c r="F15" s="35" t="str">
        <x:v>说明：本报价含设备材料、安装辅材、包装运输、国际海运及保险、泰国当地运输、安装调试和培训；不含土建基础及防腐、甲方一次侧电源进线、给排水接驳、生产线支管、第三方检测及泰国当地关税（如需）。</x:v>
      </x:c>
      <x:c r="G15" s="35" t="str">
        <x:v>说明：本报价含设备材料、安装辅材、包装运输、国际海运及保险、泰国当地运输、安装调试和培训；不含土建基础及防腐、甲方一次侧电源进线、给排水接驳、生产线支管、第三方检测及泰国当地关税（如需）。</x:v>
      </x:c>
      <x:c r="H15" s="35" t="str">
        <x:v>说明：本报价含设备材料、安装辅材、包装运输、国际海运及保险、泰国当地运输、安装调试和培训；不含土建基础及防腐、甲方一次侧电源进线、给排水接驳、生产线支管、第三方检测及泰国当地关税（如需）。</x:v>
      </x:c>
      <x:c r="I15" s="35" t="str">
        <x:v>说明：本报价含设备材料、安装辅材、包装运输、国际海运及保险、泰国当地运输、安装调试和培训；不含土建基础及防腐、甲方一次侧电源进线、给排水接驳、生产线支管、第三方检测及泰国当地关税（如需）。</x:v>
      </x:c>
      <x:c r="J15" s="35" t="str">
        <x:v>说明：本报价含设备材料、安装辅材、包装运输、国际海运及保险、泰国当地运输、安装调试和培训；不含土建基础及防腐、甲方一次侧电源进线、给排水接驳、生产线支管、第三方检测及泰国当地关税（如需）。</x:v>
      </x:c>
    </x:row>
    <x:row r="16" ht="26" customHeight="1">
      <x:c r="A16" s="25" t="str">
        <x:v>一、设备及材料清单（依据《汇钻泰国一期废气处理及送新风设计方案-20260717》中“一期设备及材料清单”编制，未遗漏、未改项）</x:v>
      </x:c>
      <x:c r="B16" s="25" t="str">
        <x:v>一、设备及材料清单（依据《汇钻泰国一期废气处理及送新风设计方案-20260717》中“一期设备及材料清单”编制，未遗漏、未改项）</x:v>
      </x:c>
      <x:c r="C16" s="25" t="str">
        <x:v>一、设备及材料清单（依据《汇钻泰国一期废气处理及送新风设计方案-20260717》中“一期设备及材料清单”编制，未遗漏、未改项）</x:v>
      </x:c>
      <x:c r="D16" s="25" t="str">
        <x:v>一、设备及材料清单（依据《汇钻泰国一期废气处理及送新风设计方案-20260717》中“一期设备及材料清单”编制，未遗漏、未改项）</x:v>
      </x:c>
      <x:c r="E16" s="25" t="str">
        <x:v>一、设备及材料清单（依据《汇钻泰国一期废气处理及送新风设计方案-20260717》中“一期设备及材料清单”编制，未遗漏、未改项）</x:v>
      </x:c>
      <x:c r="F16" s="25" t="str">
        <x:v>一、设备及材料清单（依据《汇钻泰国一期废气处理及送新风设计方案-20260717》中“一期设备及材料清单”编制，未遗漏、未改项）</x:v>
      </x:c>
      <x:c r="G16" s="25" t="str">
        <x:v>一、设备及材料清单（依据《汇钻泰国一期废气处理及送新风设计方案-20260717》中“一期设备及材料清单”编制，未遗漏、未改项）</x:v>
      </x:c>
      <x:c r="H16" s="25" t="str">
        <x:v>一、设备及材料清单（依据《汇钻泰国一期废气处理及送新风设计方案-20260717》中“一期设备及材料清单”编制，未遗漏、未改项）</x:v>
      </x:c>
      <x:c r="I16" s="25" t="str">
        <x:v>一、设备及材料清单（依据《汇钻泰国一期废气处理及送新风设计方案-20260717》中“一期设备及材料清单”编制，未遗漏、未改项）</x:v>
      </x:c>
      <x:c r="J16" s="25" t="str">
        <x:v>一、设备及材料清单（依据《汇钻泰国一期废气处理及送新风设计方案-20260717》中“一期设备及材料清单”编制，未遗漏、未改项）</x:v>
      </x:c>
    </x:row>
    <x:row r="17" ht="30" customHeight="1">
      <x:c r="A17" s="41" t="str">
        <x:v>序号</x:v>
      </x:c>
      <x:c r="B17" s="41" t="str">
        <x:v>系统/分项</x:v>
      </x:c>
      <x:c r="C17" s="41" t="str">
        <x:v>设备或材料名称</x:v>
      </x:c>
      <x:c r="D17" s="41" t="str">
        <x:v>规格型号及技术参数</x:v>
      </x:c>
      <x:c r="E17" s="41" t="str">
        <x:v>单位</x:v>
      </x:c>
      <x:c r="F17" s="41" t="str">
        <x:v>数量</x:v>
      </x:c>
      <x:c r="G17" s="41" t="str">
        <x:v>未税单价（元）</x:v>
      </x:c>
      <x:c r="H17" s="41" t="str">
        <x:v>未税金额（元）</x:v>
      </x:c>
      <x:c r="I17" s="41" t="str">
        <x:v>品牌或产地</x:v>
      </x:c>
      <x:c r="J17" s="41" t="str">
        <x:v>备注</x:v>
      </x:c>
    </x:row>
    <x:row r="18" ht="24" customHeight="1">
      <x:c r="A18" s="46" t="str">
        <x:v>（一）含氰废气处理 主设备（编号：(1F-3F)-含氰1）</x:v>
      </x:c>
      <x:c r="B18" s="46" t="str">
        <x:v>（一）含氰废气处理 主设备（编号：(1F-3F)-含氰1）</x:v>
      </x:c>
      <x:c r="C18" s="46" t="str">
        <x:v>（一）含氰废气处理 主设备（编号：(1F-3F)-含氰1）</x:v>
      </x:c>
      <x:c r="D18" s="46" t="str">
        <x:v>（一）含氰废气处理 主设备（编号：(1F-3F)-含氰1）</x:v>
      </x:c>
      <x:c r="E18" s="46" t="str">
        <x:v>（一）含氰废气处理 主设备（编号：(1F-3F)-含氰1）</x:v>
      </x:c>
      <x:c r="F18" s="46" t="str">
        <x:v>（一）含氰废气处理 主设备（编号：(1F-3F)-含氰1）</x:v>
      </x:c>
      <x:c r="G18" s="46" t="str">
        <x:v>（一）含氰废气处理 主设备（编号：(1F-3F)-含氰1）</x:v>
      </x:c>
      <x:c r="H18" s="46" t="str">
        <x:v>（一）含氰废气处理 主设备（编号：(1F-3F)-含氰1）</x:v>
      </x:c>
      <x:c r="I18" s="46" t="str">
        <x:v>（一）含氰废气处理 主设备（编号：(1F-3F)-含氰1）</x:v>
      </x:c>
      <x:c r="J18" s="46" t="str">
        <x:v>（一）含氰废气处理 主设备（编号：(1F-3F)-含氰1）</x:v>
      </x:c>
    </x:row>
    <x:row r="19" ht="44" customHeight="1">
      <x:c r="A19" s="52" t="n">
        <x:v>1</x:v>
      </x:c>
      <x:c r="B19" s="51" t="str">
        <x:v>喷淋净化塔</x:v>
      </x:c>
      <x:c r="C19" s="51" t="str">
        <x:v>喷淋塔塔体</x:v>
      </x:c>
      <x:c r="D19" s="51" t="str">
        <x:v>1、处理风量：30000m³/h
2、喷淋塔本体 尺寸：D3000mm*H7500mm 设计板厚:塔身10mm、底板厚度10mm；
3、观测窗口：采用直径500mm×厚度8mmPVC圆形透明设计密封，数量4个
4、喷淋管：采用直径75mm/直径63mm×壁厚4mmPP管制作、法兰连接、二层喷淋，一层除雾
5、喷头形式：螺旋式，直径20mmPP材质
6、配备直径25mmPVC进水管道、直径50mmPVC排水管道、溢流口、6分浮球开关补水控制</x:v>
      </x:c>
      <x:c r="E19" s="52" t="str">
        <x:v>套</x:v>
      </x:c>
      <x:c r="F19" s="53" t="n">
        <x:v>1</x:v>
      </x:c>
      <x:c r="G19" s="55" t="n">
        <x:v>72000</x:v>
      </x:c>
      <x:c r="H19" s="55" t="n">
        <x:f>F19*G19</x:f>
        <x:v>72000</x:v>
      </x:c>
      <x:c r="I19" s="52" t="str">
        <x:v>国产（待定）</x:v>
      </x:c>
      <x:c r="J19" s="51" t="str"/>
    </x:row>
    <x:row r="20" ht="44" customHeight="1">
      <x:c r="A20" s="52" t="n">
        <x:v>2</x:v>
      </x:c>
      <x:c r="B20" s="51" t="str">
        <x:v>喷淋净化塔</x:v>
      </x:c>
      <x:c r="C20" s="51" t="str">
        <x:v>填料</x:v>
      </x:c>
      <x:c r="D20" s="51" t="str">
        <x:v>填料规格：采用PP射出成形带刺空心球填料 尺寸：φ50mm， 填料用量:84780个</x:v>
      </x:c>
      <x:c r="E20" s="52" t="str">
        <x:v>项</x:v>
      </x:c>
      <x:c r="F20" s="53" t="n">
        <x:v>1</x:v>
      </x:c>
      <x:c r="G20" s="55" t="n">
        <x:v>6000</x:v>
      </x:c>
      <x:c r="H20" s="55" t="n">
        <x:f>F20*G20</x:f>
        <x:v>6000</x:v>
      </x:c>
      <x:c r="I20" s="52" t="str">
        <x:v>国产（待定）</x:v>
      </x:c>
      <x:c r="J20" s="51" t="str"/>
    </x:row>
    <x:row r="21" ht="44" customHeight="1">
      <x:c r="A21" s="52" t="n">
        <x:v>3</x:v>
      </x:c>
      <x:c r="B21" s="51" t="str">
        <x:v>喷淋净化塔</x:v>
      </x:c>
      <x:c r="C21" s="51" t="str">
        <x:v>循环喷淋管道</x:v>
      </x:c>
      <x:c r="D21" s="51" t="str">
        <x:v>材质：UPVC，耐压1.0mpa及以上，水管、弯头、法兰、等。</x:v>
      </x:c>
      <x:c r="E21" s="52" t="str">
        <x:v>项</x:v>
      </x:c>
      <x:c r="F21" s="53" t="n">
        <x:v>1</x:v>
      </x:c>
      <x:c r="G21" s="55" t="n">
        <x:v>4500</x:v>
      </x:c>
      <x:c r="H21" s="55" t="n">
        <x:f>F21*G21</x:f>
        <x:v>4500</x:v>
      </x:c>
      <x:c r="I21" s="52" t="str">
        <x:v>国产（待定）</x:v>
      </x:c>
      <x:c r="J21" s="51" t="str"/>
    </x:row>
    <x:row r="22" ht="44" customHeight="1">
      <x:c r="A22" s="52" t="n">
        <x:v>4</x:v>
      </x:c>
      <x:c r="B22" s="51" t="str">
        <x:v>大月弯</x:v>
      </x:c>
      <x:c r="C22" s="51" t="str">
        <x:v>大月弯</x:v>
      </x:c>
      <x:c r="D22" s="51" t="str">
        <x:v>直径：1000mm</x:v>
      </x:c>
      <x:c r="E22" s="52" t="str">
        <x:v>个</x:v>
      </x:c>
      <x:c r="F22" s="53" t="n">
        <x:v>1</x:v>
      </x:c>
      <x:c r="G22" s="55" t="n">
        <x:v>5200</x:v>
      </x:c>
      <x:c r="H22" s="55" t="n">
        <x:f>F22*G22</x:f>
        <x:v>5200</x:v>
      </x:c>
      <x:c r="I22" s="52" t="str">
        <x:v>国产（待定）</x:v>
      </x:c>
      <x:c r="J22" s="51" t="str"/>
    </x:row>
    <x:row r="23" ht="44" customHeight="1">
      <x:c r="A23" s="52" t="n">
        <x:v>5</x:v>
      </x:c>
      <x:c r="B23" s="51" t="str">
        <x:v>设备连接系统</x:v>
      </x:c>
      <x:c r="C23" s="51" t="str">
        <x:v>φ1000mm风管及管件</x:v>
      </x:c>
      <x:c r="D23" s="51" t="str">
        <x:v>含弯头及风管 直径：1000mm 风管数量：4.5m 90°弯头:1个 所有风管及管件法兰连接</x:v>
      </x:c>
      <x:c r="E23" s="52" t="str">
        <x:v>项</x:v>
      </x:c>
      <x:c r="F23" s="53" t="n">
        <x:v>1</x:v>
      </x:c>
      <x:c r="G23" s="55" t="n">
        <x:v>2800</x:v>
      </x:c>
      <x:c r="H23" s="55" t="n">
        <x:f>F23*G23</x:f>
        <x:v>2800</x:v>
      </x:c>
      <x:c r="I23" s="52" t="str">
        <x:v>国产（待定）</x:v>
      </x:c>
      <x:c r="J23" s="51" t="str"/>
    </x:row>
    <x:row r="24" ht="44" customHeight="1">
      <x:c r="A24" s="52" t="n">
        <x:v>6</x:v>
      </x:c>
      <x:c r="B24" s="51" t="str">
        <x:v>排放管</x:v>
      </x:c>
      <x:c r="C24" s="51" t="str">
        <x:v>排放管</x:v>
      </x:c>
      <x:c r="D24" s="51" t="str">
        <x:v>烟囱、风帽、及避雷设施 烟囱直径：1000mm 烟囱长度：7.5m。 带取样口</x:v>
      </x:c>
      <x:c r="E24" s="52" t="str">
        <x:v>套</x:v>
      </x:c>
      <x:c r="F24" s="53" t="n">
        <x:v>1</x:v>
      </x:c>
      <x:c r="G24" s="55" t="n">
        <x:v>9800</x:v>
      </x:c>
      <x:c r="H24" s="55" t="n">
        <x:f>F24*G24</x:f>
        <x:v>9800</x:v>
      </x:c>
      <x:c r="I24" s="52" t="str">
        <x:v>国产（待定）</x:v>
      </x:c>
      <x:c r="J24" s="51" t="str"/>
    </x:row>
    <x:row r="25" ht="44" customHeight="1">
      <x:c r="A25" s="52" t="n">
        <x:v>7</x:v>
      </x:c>
      <x:c r="B25" s="51" t="str">
        <x:v>排放管</x:v>
      </x:c>
      <x:c r="C25" s="51" t="str">
        <x:v>防雨帽</x:v>
      </x:c>
      <x:c r="D25" s="51" t="str">
        <x:v>设备配套定制款</x:v>
      </x:c>
      <x:c r="E25" s="52" t="str">
        <x:v>个</x:v>
      </x:c>
      <x:c r="F25" s="53" t="n">
        <x:v>1</x:v>
      </x:c>
      <x:c r="G25" s="55" t="n">
        <x:v>1500</x:v>
      </x:c>
      <x:c r="H25" s="55" t="n">
        <x:f>F25*G25</x:f>
        <x:v>1500</x:v>
      </x:c>
      <x:c r="I25" s="52" t="str">
        <x:v>国产（待定）</x:v>
      </x:c>
      <x:c r="J25" s="51" t="str"/>
    </x:row>
    <x:row r="26" ht="44" customHeight="1">
      <x:c r="A26" s="52" t="n">
        <x:v>8</x:v>
      </x:c>
      <x:c r="B26" s="51" t="str">
        <x:v>检测平台</x:v>
      </x:c>
      <x:c r="C26" s="51" t="str">
        <x:v>检测平台</x:v>
      </x:c>
      <x:c r="D26" s="51" t="str">
        <x:v>平台固定座：铁板 平台立柱：方通 平台护栏：方通 平台地面及踏步：花纹板 平台立柱黄色防腐油漆，其他为深灰色防腐油漆</x:v>
      </x:c>
      <x:c r="E26" s="52" t="str">
        <x:v>套</x:v>
      </x:c>
      <x:c r="F26" s="53" t="n">
        <x:v>1</x:v>
      </x:c>
      <x:c r="G26" s="55" t="n">
        <x:v>9800</x:v>
      </x:c>
      <x:c r="H26" s="55" t="n">
        <x:f>F26*G26</x:f>
        <x:v>9800</x:v>
      </x:c>
      <x:c r="I26" s="52" t="str">
        <x:v>国产（待定）</x:v>
      </x:c>
      <x:c r="J26" s="51" t="str"/>
    </x:row>
    <x:row r="27" ht="44" customHeight="1">
      <x:c r="A27" s="52" t="n">
        <x:v>9</x:v>
      </x:c>
      <x:c r="B27" s="51" t="str">
        <x:v>风机</x:v>
      </x:c>
      <x:c r="C27" s="51" t="str">
        <x:v>风机</x:v>
      </x:c>
      <x:c r="D27" s="51" t="str">
        <x:v>型号：FAN-SYS-060-30KW 处理风量：30000m³/h 压力：1800pa</x:v>
      </x:c>
      <x:c r="E27" s="52" t="str">
        <x:v>台</x:v>
      </x:c>
      <x:c r="F27" s="53" t="n">
        <x:v>1</x:v>
      </x:c>
      <x:c r="G27" s="55" t="n">
        <x:v>55600</x:v>
      </x:c>
      <x:c r="H27" s="55" t="n">
        <x:f>F27*G27</x:f>
        <x:v>55600</x:v>
      </x:c>
      <x:c r="I27" s="52" t="str">
        <x:v>国产（待定）</x:v>
      </x:c>
      <x:c r="J27" s="51" t="str"/>
    </x:row>
    <x:row r="28" ht="44" customHeight="1">
      <x:c r="A28" s="52" t="n">
        <x:v>10</x:v>
      </x:c>
      <x:c r="B28" s="51" t="str">
        <x:v>循环喷淋系统</x:v>
      </x:c>
      <x:c r="C28" s="51" t="str">
        <x:v>喷淋循环泵</x:v>
      </x:c>
      <x:c r="D28" s="51" t="str">
        <x:v>功率:10HP 流量：55m³/h 扬程：28M</x:v>
      </x:c>
      <x:c r="E28" s="52" t="str">
        <x:v>台</x:v>
      </x:c>
      <x:c r="F28" s="53" t="n">
        <x:v>2</x:v>
      </x:c>
      <x:c r="G28" s="55" t="n">
        <x:v>6200</x:v>
      </x:c>
      <x:c r="H28" s="55" t="n">
        <x:f>F28*G28</x:f>
        <x:v>12400</x:v>
      </x:c>
      <x:c r="I28" s="52" t="str">
        <x:v>国产（待定）</x:v>
      </x:c>
      <x:c r="J28" s="51" t="str"/>
    </x:row>
    <x:row r="29" ht="44" customHeight="1">
      <x:c r="A29" s="52" t="n">
        <x:v>11</x:v>
      </x:c>
      <x:c r="B29" s="51" t="str">
        <x:v>自动加药系统</x:v>
      </x:c>
      <x:c r="C29" s="51" t="str">
        <x:v>PH/ORP计</x:v>
      </x:c>
      <x:c r="D29" s="51" t="str">
        <x:v>使用部位喷淋塔塔体,仪表+探头</x:v>
      </x:c>
      <x:c r="E29" s="52" t="str">
        <x:v>套</x:v>
      </x:c>
      <x:c r="F29" s="53" t="n">
        <x:v>1</x:v>
      </x:c>
      <x:c r="G29" s="55" t="n">
        <x:v>6500</x:v>
      </x:c>
      <x:c r="H29" s="55" t="n">
        <x:f>F29*G29</x:f>
        <x:v>6500</x:v>
      </x:c>
      <x:c r="I29" s="52" t="str">
        <x:v>国产（待定）</x:v>
      </x:c>
      <x:c r="J29" s="51" t="str"/>
    </x:row>
    <x:row r="30" ht="44" customHeight="1">
      <x:c r="A30" s="52" t="n">
        <x:v>12</x:v>
      </x:c>
      <x:c r="B30" s="51" t="str">
        <x:v>自动加药系统</x:v>
      </x:c>
      <x:c r="C30" s="51" t="str">
        <x:v>加药泵</x:v>
      </x:c>
      <x:c r="D30" s="51" t="str">
        <x:v>MD-40RM</x:v>
      </x:c>
      <x:c r="E30" s="52" t="str">
        <x:v>台</x:v>
      </x:c>
      <x:c r="F30" s="53" t="n">
        <x:v>1</x:v>
      </x:c>
      <x:c r="G30" s="55" t="n">
        <x:v>2600</x:v>
      </x:c>
      <x:c r="H30" s="55" t="n">
        <x:f>F30*G30</x:f>
        <x:v>2600</x:v>
      </x:c>
      <x:c r="I30" s="52" t="str">
        <x:v>国产（待定）</x:v>
      </x:c>
      <x:c r="J30" s="51" t="str"/>
    </x:row>
    <x:row r="31" ht="44" customHeight="1">
      <x:c r="A31" s="52" t="n">
        <x:v>13</x:v>
      </x:c>
      <x:c r="B31" s="51" t="str">
        <x:v>自动加药系统</x:v>
      </x:c>
      <x:c r="C31" s="51" t="str">
        <x:v>储药箱</x:v>
      </x:c>
      <x:c r="D31" s="51" t="str">
        <x:v>材质：PP阻燃，含配套输送管道系统等附件</x:v>
      </x:c>
      <x:c r="E31" s="52" t="str">
        <x:v>套</x:v>
      </x:c>
      <x:c r="F31" s="53" t="n">
        <x:v>1</x:v>
      </x:c>
      <x:c r="G31" s="55" t="n">
        <x:v>4200</x:v>
      </x:c>
      <x:c r="H31" s="55" t="n">
        <x:f>F31*G31</x:f>
        <x:v>4200</x:v>
      </x:c>
      <x:c r="I31" s="52" t="str">
        <x:v>国产（待定）</x:v>
      </x:c>
      <x:c r="J31" s="51" t="str"/>
    </x:row>
    <x:row r="32" ht="44" customHeight="1">
      <x:c r="A32" s="52" t="n">
        <x:v>14</x:v>
      </x:c>
      <x:c r="B32" s="51" t="str">
        <x:v>配电系统</x:v>
      </x:c>
      <x:c r="C32" s="51" t="str">
        <x:v>电控箱</x:v>
      </x:c>
      <x:c r="D32" s="51" t="str">
        <x:v>碳钢+烤漆</x:v>
      </x:c>
      <x:c r="E32" s="52" t="str">
        <x:v>套</x:v>
      </x:c>
      <x:c r="F32" s="53" t="n">
        <x:v>1</x:v>
      </x:c>
      <x:c r="G32" s="55" t="n">
        <x:v>49000</x:v>
      </x:c>
      <x:c r="H32" s="55" t="n">
        <x:f>F32*G32</x:f>
        <x:v>49000</x:v>
      </x:c>
      <x:c r="I32" s="52" t="str">
        <x:v>国产（待定）</x:v>
      </x:c>
      <x:c r="J32" s="51" t="str"/>
    </x:row>
    <x:row r="33" ht="44" customHeight="1">
      <x:c r="A33" s="52" t="n">
        <x:v>15</x:v>
      </x:c>
      <x:c r="B33" s="51" t="str">
        <x:v>配电系统</x:v>
      </x:c>
      <x:c r="C33" s="51" t="str">
        <x:v>变频器</x:v>
      </x:c>
      <x:c r="D33" s="51" t="str">
        <x:v>30KW</x:v>
      </x:c>
      <x:c r="E33" s="52" t="str">
        <x:v>台</x:v>
      </x:c>
      <x:c r="F33" s="53" t="n">
        <x:v>1</x:v>
      </x:c>
      <x:c r="G33" s="55" t="n">
        <x:v>20000</x:v>
      </x:c>
      <x:c r="H33" s="55" t="n">
        <x:f>F33*G33</x:f>
        <x:v>20000</x:v>
      </x:c>
      <x:c r="I33" s="52" t="str">
        <x:v>国产（待定）</x:v>
      </x:c>
      <x:c r="J33" s="51" t="str">
        <x:v>原清单未标注单位及数量，按成套配置计</x:v>
      </x:c>
    </x:row>
    <x:row r="34" ht="44" customHeight="1">
      <x:c r="A34" s="52" t="n">
        <x:v>16</x:v>
      </x:c>
      <x:c r="B34" s="51" t="str">
        <x:v>配电系统</x:v>
      </x:c>
      <x:c r="C34" s="51" t="str">
        <x:v>电器元件</x:v>
      </x:c>
      <x:c r="D34" s="51" t="str">
        <x:v>正泰</x:v>
      </x:c>
      <x:c r="E34" s="52" t="str">
        <x:v>项</x:v>
      </x:c>
      <x:c r="F34" s="53" t="n">
        <x:v>1</x:v>
      </x:c>
      <x:c r="G34" s="55" t="n">
        <x:v>9000</x:v>
      </x:c>
      <x:c r="H34" s="55" t="n">
        <x:f>F34*G34</x:f>
        <x:v>9000</x:v>
      </x:c>
      <x:c r="I34" s="52" t="str">
        <x:v>正泰（国产）</x:v>
      </x:c>
      <x:c r="J34" s="51" t="str">
        <x:v>原清单未标注单位及数量，按成套配置计</x:v>
      </x:c>
    </x:row>
    <x:row r="35" ht="44" customHeight="1">
      <x:c r="A35" s="52" t="n">
        <x:v>17</x:v>
      </x:c>
      <x:c r="B35" s="51" t="str">
        <x:v>配电系统</x:v>
      </x:c>
      <x:c r="C35" s="51" t="str">
        <x:v>电线电缆</x:v>
      </x:c>
      <x:c r="D35" s="51" t="str">
        <x:v>国优</x:v>
      </x:c>
      <x:c r="E35" s="52" t="str">
        <x:v>项</x:v>
      </x:c>
      <x:c r="F35" s="53" t="n">
        <x:v>1</x:v>
      </x:c>
      <x:c r="G35" s="55" t="n">
        <x:v>13000</x:v>
      </x:c>
      <x:c r="H35" s="55" t="n">
        <x:f>F35*G35</x:f>
        <x:v>13000</x:v>
      </x:c>
      <x:c r="I35" s="52" t="str">
        <x:v>国优（国产）</x:v>
      </x:c>
      <x:c r="J35" s="51" t="str">
        <x:v>原清单未标注单位及数量，按成套配置计</x:v>
      </x:c>
    </x:row>
    <x:row r="36" ht="44" customHeight="1">
      <x:c r="A36" s="52" t="n">
        <x:v>18</x:v>
      </x:c>
      <x:c r="B36" s="51" t="str">
        <x:v>配电系统</x:v>
      </x:c>
      <x:c r="C36" s="51" t="str">
        <x:v>电线管</x:v>
      </x:c>
      <x:c r="D36" s="51" t="str">
        <x:v>PVC</x:v>
      </x:c>
      <x:c r="E36" s="52" t="str">
        <x:v>项</x:v>
      </x:c>
      <x:c r="F36" s="53" t="n">
        <x:v>1</x:v>
      </x:c>
      <x:c r="G36" s="55" t="n">
        <x:v>4800</x:v>
      </x:c>
      <x:c r="H36" s="55" t="n">
        <x:f>F36*G36</x:f>
        <x:v>4800</x:v>
      </x:c>
      <x:c r="I36" s="52" t="str">
        <x:v>国产（待定）</x:v>
      </x:c>
      <x:c r="J36" s="51" t="str">
        <x:v>原清单未标注单位及数量，按成套配置计</x:v>
      </x:c>
    </x:row>
    <x:row r="37" ht="24" customHeight="1">
      <x:c r="A37" s="64" t="str">
        <x:v>（一）含氰废气处理 主设备（编号：(1F-3F)-含氰1）  小计</x:v>
      </x:c>
      <x:c r="B37" s="64" t="str">
        <x:v>（一）含氰废气处理 主设备（编号：(1F-3F)-含氰1）  小计</x:v>
      </x:c>
      <x:c r="C37" s="64" t="str">
        <x:v>（一）含氰废气处理 主设备（编号：(1F-3F)-含氰1）  小计</x:v>
      </x:c>
      <x:c r="D37" s="64" t="str">
        <x:v>（一）含氰废气处理 主设备（编号：(1F-3F)-含氰1）  小计</x:v>
      </x:c>
      <x:c r="E37" s="64" t="str">
        <x:v>（一）含氰废气处理 主设备（编号：(1F-3F)-含氰1）  小计</x:v>
      </x:c>
      <x:c r="F37" s="65"/>
      <x:c r="G37" s="65"/>
      <x:c r="H37" s="66" t="n">
        <x:f>SUM(H19:H36)</x:f>
        <x:v>288700</x:v>
      </x:c>
      <x:c r="I37" s="65"/>
      <x:c r="J37" s="65"/>
    </x:row>
    <x:row r="38" ht="24" customHeight="1">
      <x:c r="A38" s="46" t="str">
        <x:v>（二）3楼酸碱废气处理 主设备（编号：3F-酸碱4）</x:v>
      </x:c>
      <x:c r="B38" s="46" t="str">
        <x:v>（二）3楼酸碱废气处理 主设备（编号：3F-酸碱4）</x:v>
      </x:c>
      <x:c r="C38" s="46" t="str">
        <x:v>（二）3楼酸碱废气处理 主设备（编号：3F-酸碱4）</x:v>
      </x:c>
      <x:c r="D38" s="46" t="str">
        <x:v>（二）3楼酸碱废气处理 主设备（编号：3F-酸碱4）</x:v>
      </x:c>
      <x:c r="E38" s="46" t="str">
        <x:v>（二）3楼酸碱废气处理 主设备（编号：3F-酸碱4）</x:v>
      </x:c>
      <x:c r="F38" s="46" t="str">
        <x:v>（二）3楼酸碱废气处理 主设备（编号：3F-酸碱4）</x:v>
      </x:c>
      <x:c r="G38" s="46" t="str">
        <x:v>（二）3楼酸碱废气处理 主设备（编号：3F-酸碱4）</x:v>
      </x:c>
      <x:c r="H38" s="46" t="str">
        <x:v>（二）3楼酸碱废气处理 主设备（编号：3F-酸碱4）</x:v>
      </x:c>
      <x:c r="I38" s="46" t="str">
        <x:v>（二）3楼酸碱废气处理 主设备（编号：3F-酸碱4）</x:v>
      </x:c>
      <x:c r="J38" s="46" t="str">
        <x:v>（二）3楼酸碱废气处理 主设备（编号：3F-酸碱4）</x:v>
      </x:c>
    </x:row>
    <x:row r="39" ht="44" customHeight="1">
      <x:c r="A39" s="52" t="n">
        <x:v>19</x:v>
      </x:c>
      <x:c r="B39" s="51" t="str">
        <x:v>喷淋净化塔</x:v>
      </x:c>
      <x:c r="C39" s="51" t="str">
        <x:v>喷淋塔塔体</x:v>
      </x:c>
      <x:c r="D39" s="51" t="str">
        <x:v>1、处理风量：80000m³/h
2、喷淋塔本体 尺寸：D4000mm*H8100mm 设计板厚:塔身12mm、底板厚度12mm；
3、观测窗口：采用直径500mm×厚度8mmPVC圆形透明设计密封，数量4个
4、喷淋管：采用直径75mm/直径63mm×壁厚4mmPP管制作、法兰连接、二层喷淋，一层除雾
5、喷头形式：螺旋式，直径25mmPP材质
6、配备直径25mmPVC进水管道、直径50mmPVC排水管道、溢流口、6分浮球开关补水控制</x:v>
      </x:c>
      <x:c r="E39" s="52" t="str">
        <x:v>套</x:v>
      </x:c>
      <x:c r="F39" s="53" t="n">
        <x:v>1</x:v>
      </x:c>
      <x:c r="G39" s="55" t="n">
        <x:v>88000</x:v>
      </x:c>
      <x:c r="H39" s="55" t="n">
        <x:f>F39*G39</x:f>
        <x:v>88000</x:v>
      </x:c>
      <x:c r="I39" s="52" t="str">
        <x:v>国产（待定）</x:v>
      </x:c>
      <x:c r="J39" s="51" t="str"/>
    </x:row>
    <x:row r="40" ht="44" customHeight="1">
      <x:c r="A40" s="52" t="n">
        <x:v>20</x:v>
      </x:c>
      <x:c r="B40" s="51" t="str">
        <x:v>喷淋净化塔</x:v>
      </x:c>
      <x:c r="C40" s="51" t="str">
        <x:v>填料</x:v>
      </x:c>
      <x:c r="D40" s="51" t="str">
        <x:v>填料规格：采用PP射出成形带刺空心球填料 尺寸：φ50mm， 填料用量:150720个</x:v>
      </x:c>
      <x:c r="E40" s="52" t="str">
        <x:v>项</x:v>
      </x:c>
      <x:c r="F40" s="53" t="n">
        <x:v>1</x:v>
      </x:c>
      <x:c r="G40" s="55" t="n">
        <x:v>11800</x:v>
      </x:c>
      <x:c r="H40" s="55" t="n">
        <x:f>F40*G40</x:f>
        <x:v>11800</x:v>
      </x:c>
      <x:c r="I40" s="52" t="str">
        <x:v>国产（待定）</x:v>
      </x:c>
      <x:c r="J40" s="51" t="str"/>
    </x:row>
    <x:row r="41" ht="44" customHeight="1">
      <x:c r="A41" s="52" t="n">
        <x:v>21</x:v>
      </x:c>
      <x:c r="B41" s="51" t="str">
        <x:v>喷淋净化塔</x:v>
      </x:c>
      <x:c r="C41" s="51" t="str">
        <x:v>循环喷淋管道</x:v>
      </x:c>
      <x:c r="D41" s="51" t="str">
        <x:v>材质：UPVC，耐压1.0MPa及以上，水管、弯头、法兰、等。</x:v>
      </x:c>
      <x:c r="E41" s="52" t="str">
        <x:v>项</x:v>
      </x:c>
      <x:c r="F41" s="53" t="n">
        <x:v>1</x:v>
      </x:c>
      <x:c r="G41" s="55" t="n">
        <x:v>5200</x:v>
      </x:c>
      <x:c r="H41" s="55" t="n">
        <x:f>F41*G41</x:f>
        <x:v>5200</x:v>
      </x:c>
      <x:c r="I41" s="52" t="str">
        <x:v>国产（待定）</x:v>
      </x:c>
      <x:c r="J41" s="51" t="str"/>
    </x:row>
    <x:row r="42" ht="44" customHeight="1">
      <x:c r="A42" s="52" t="n">
        <x:v>22</x:v>
      </x:c>
      <x:c r="B42" s="51" t="str">
        <x:v>大月弯</x:v>
      </x:c>
      <x:c r="C42" s="51" t="str">
        <x:v>大月弯</x:v>
      </x:c>
      <x:c r="D42" s="51" t="str">
        <x:v>直径：1350mm</x:v>
      </x:c>
      <x:c r="E42" s="52" t="str">
        <x:v>个</x:v>
      </x:c>
      <x:c r="F42" s="53" t="n">
        <x:v>1</x:v>
      </x:c>
      <x:c r="G42" s="55" t="n">
        <x:v>7000</x:v>
      </x:c>
      <x:c r="H42" s="55" t="n">
        <x:f>F42*G42</x:f>
        <x:v>7000</x:v>
      </x:c>
      <x:c r="I42" s="52" t="str">
        <x:v>国产（待定）</x:v>
      </x:c>
      <x:c r="J42" s="51" t="str"/>
    </x:row>
    <x:row r="43" ht="44" customHeight="1">
      <x:c r="A43" s="52" t="n">
        <x:v>23</x:v>
      </x:c>
      <x:c r="B43" s="51" t="str">
        <x:v>设备连接系统</x:v>
      </x:c>
      <x:c r="C43" s="51" t="str">
        <x:v>φ1350mm风管及管件</x:v>
      </x:c>
      <x:c r="D43" s="51" t="str">
        <x:v>含弯头及风管 直径：1350mm 风管数量：4.5m 90°弯头:1个 所有风管及管件法兰连接</x:v>
      </x:c>
      <x:c r="E43" s="52" t="str">
        <x:v>项</x:v>
      </x:c>
      <x:c r="F43" s="53" t="n">
        <x:v>1</x:v>
      </x:c>
      <x:c r="G43" s="55" t="n">
        <x:v>4200</x:v>
      </x:c>
      <x:c r="H43" s="55" t="n">
        <x:f>F43*G43</x:f>
        <x:v>4200</x:v>
      </x:c>
      <x:c r="I43" s="52" t="str">
        <x:v>国产（待定）</x:v>
      </x:c>
      <x:c r="J43" s="51" t="str"/>
    </x:row>
    <x:row r="44" ht="44" customHeight="1">
      <x:c r="A44" s="52" t="n">
        <x:v>24</x:v>
      </x:c>
      <x:c r="B44" s="51" t="str">
        <x:v>排放管</x:v>
      </x:c>
      <x:c r="C44" s="51" t="str">
        <x:v>排放管</x:v>
      </x:c>
      <x:c r="D44" s="51" t="str">
        <x:v>烟囱、风帽、及避雷设施 烟囱直径：1350mm 烟囱数量：7.5m。 带取样口</x:v>
      </x:c>
      <x:c r="E44" s="52" t="str">
        <x:v>套</x:v>
      </x:c>
      <x:c r="F44" s="53" t="n">
        <x:v>1</x:v>
      </x:c>
      <x:c r="G44" s="55" t="n">
        <x:v>13800</x:v>
      </x:c>
      <x:c r="H44" s="55" t="n">
        <x:f>F44*G44</x:f>
        <x:v>13800</x:v>
      </x:c>
      <x:c r="I44" s="52" t="str">
        <x:v>国产（待定）</x:v>
      </x:c>
      <x:c r="J44" s="51" t="str">
        <x:v>原清单表述为“烟囱数量：7.5m”，按7.5m高烟囱及附件成套计</x:v>
      </x:c>
    </x:row>
    <x:row r="45" ht="44" customHeight="1">
      <x:c r="A45" s="52" t="n">
        <x:v>25</x:v>
      </x:c>
      <x:c r="B45" s="51" t="str">
        <x:v>排放管</x:v>
      </x:c>
      <x:c r="C45" s="51" t="str">
        <x:v>防雨帽</x:v>
      </x:c>
      <x:c r="D45" s="51" t="str">
        <x:v>设备配套定制款</x:v>
      </x:c>
      <x:c r="E45" s="52" t="str">
        <x:v>个</x:v>
      </x:c>
      <x:c r="F45" s="53" t="n">
        <x:v>1</x:v>
      </x:c>
      <x:c r="G45" s="55" t="n">
        <x:v>2100</x:v>
      </x:c>
      <x:c r="H45" s="55" t="n">
        <x:f>F45*G45</x:f>
        <x:v>2100</x:v>
      </x:c>
      <x:c r="I45" s="52" t="str">
        <x:v>国产（待定）</x:v>
      </x:c>
      <x:c r="J45" s="51" t="str"/>
    </x:row>
    <x:row r="46" ht="44" customHeight="1">
      <x:c r="A46" s="52" t="n">
        <x:v>26</x:v>
      </x:c>
      <x:c r="B46" s="51" t="str">
        <x:v>检测平台</x:v>
      </x:c>
      <x:c r="C46" s="51" t="str">
        <x:v>检测平台</x:v>
      </x:c>
      <x:c r="D46" s="51" t="str">
        <x:v>平台固定座：铁板 平台立柱：方通 平台护栏：方通 平台地面及踏步：花纹板 平台立柱黄色防腐油漆，其他为深灰色防腐油漆</x:v>
      </x:c>
      <x:c r="E46" s="52" t="str">
        <x:v>套</x:v>
      </x:c>
      <x:c r="F46" s="53" t="n">
        <x:v>1</x:v>
      </x:c>
      <x:c r="G46" s="55" t="n">
        <x:v>13500</x:v>
      </x:c>
      <x:c r="H46" s="55" t="n">
        <x:f>F46*G46</x:f>
        <x:v>13500</x:v>
      </x:c>
      <x:c r="I46" s="52" t="str">
        <x:v>国产（待定）</x:v>
      </x:c>
      <x:c r="J46" s="51" t="str"/>
    </x:row>
    <x:row r="47" ht="44" customHeight="1">
      <x:c r="A47" s="52" t="n">
        <x:v>27</x:v>
      </x:c>
      <x:c r="B47" s="51" t="str">
        <x:v>风机</x:v>
      </x:c>
      <x:c r="C47" s="51" t="str">
        <x:v>风机</x:v>
      </x:c>
      <x:c r="D47" s="51" t="str">
        <x:v>型号：FAN-SYS-090-75KW 处理风量：80000m³/h 压力：1800Pa</x:v>
      </x:c>
      <x:c r="E47" s="52" t="str">
        <x:v>台</x:v>
      </x:c>
      <x:c r="F47" s="53" t="n">
        <x:v>1</x:v>
      </x:c>
      <x:c r="G47" s="55" t="n">
        <x:v>131000</x:v>
      </x:c>
      <x:c r="H47" s="55" t="n">
        <x:f>F47*G47</x:f>
        <x:v>131000</x:v>
      </x:c>
      <x:c r="I47" s="52" t="str">
        <x:v>国产（待定）</x:v>
      </x:c>
      <x:c r="J47" s="51" t="str"/>
    </x:row>
    <x:row r="48" ht="44" customHeight="1">
      <x:c r="A48" s="52" t="n">
        <x:v>28</x:v>
      </x:c>
      <x:c r="B48" s="51" t="str">
        <x:v>循环喷淋系统</x:v>
      </x:c>
      <x:c r="C48" s="51" t="str">
        <x:v>喷淋循环泵</x:v>
      </x:c>
      <x:c r="D48" s="51" t="str">
        <x:v>功率:10HP 流量：55m³/h 扬程：28M</x:v>
      </x:c>
      <x:c r="E48" s="52" t="str">
        <x:v>台</x:v>
      </x:c>
      <x:c r="F48" s="53" t="n">
        <x:v>2</x:v>
      </x:c>
      <x:c r="G48" s="55" t="n">
        <x:v>7000</x:v>
      </x:c>
      <x:c r="H48" s="55" t="n">
        <x:f>F48*G48</x:f>
        <x:v>14000</x:v>
      </x:c>
      <x:c r="I48" s="52" t="str">
        <x:v>国产（待定）</x:v>
      </x:c>
      <x:c r="J48" s="51" t="str"/>
    </x:row>
    <x:row r="49" ht="44" customHeight="1">
      <x:c r="A49" s="52" t="n">
        <x:v>29</x:v>
      </x:c>
      <x:c r="B49" s="51" t="str">
        <x:v>自动加药系统</x:v>
      </x:c>
      <x:c r="C49" s="51" t="str">
        <x:v>PH计</x:v>
      </x:c>
      <x:c r="D49" s="51" t="str">
        <x:v>使用部位喷淋塔塔体,仪表+探头</x:v>
      </x:c>
      <x:c r="E49" s="52" t="str">
        <x:v>套</x:v>
      </x:c>
      <x:c r="F49" s="53" t="n">
        <x:v>1</x:v>
      </x:c>
      <x:c r="G49" s="55" t="n">
        <x:v>7200</x:v>
      </x:c>
      <x:c r="H49" s="55" t="n">
        <x:f>F49*G49</x:f>
        <x:v>7200</x:v>
      </x:c>
      <x:c r="I49" s="52" t="str">
        <x:v>国产（待定）</x:v>
      </x:c>
      <x:c r="J49" s="51" t="str"/>
    </x:row>
    <x:row r="50" ht="44" customHeight="1">
      <x:c r="A50" s="52" t="n">
        <x:v>30</x:v>
      </x:c>
      <x:c r="B50" s="51" t="str">
        <x:v>自动加药系统</x:v>
      </x:c>
      <x:c r="C50" s="51" t="str">
        <x:v>加药泵</x:v>
      </x:c>
      <x:c r="D50" s="51" t="str">
        <x:v>MD-40RM</x:v>
      </x:c>
      <x:c r="E50" s="52" t="str">
        <x:v>台</x:v>
      </x:c>
      <x:c r="F50" s="53" t="n">
        <x:v>1</x:v>
      </x:c>
      <x:c r="G50" s="55" t="n">
        <x:v>3000</x:v>
      </x:c>
      <x:c r="H50" s="55" t="n">
        <x:f>F50*G50</x:f>
        <x:v>3000</x:v>
      </x:c>
      <x:c r="I50" s="52" t="str">
        <x:v>国产（待定）</x:v>
      </x:c>
      <x:c r="J50" s="51" t="str"/>
    </x:row>
    <x:row r="51" ht="44" customHeight="1">
      <x:c r="A51" s="52" t="n">
        <x:v>31</x:v>
      </x:c>
      <x:c r="B51" s="51" t="str">
        <x:v>自动加药系统</x:v>
      </x:c>
      <x:c r="C51" s="51" t="str">
        <x:v>储药箱</x:v>
      </x:c>
      <x:c r="D51" s="51" t="str">
        <x:v>材质：PP阻燃，含配套输送管道系统等附件</x:v>
      </x:c>
      <x:c r="E51" s="52" t="str">
        <x:v>套</x:v>
      </x:c>
      <x:c r="F51" s="53" t="n">
        <x:v>1</x:v>
      </x:c>
      <x:c r="G51" s="55" t="n">
        <x:v>5000</x:v>
      </x:c>
      <x:c r="H51" s="55" t="n">
        <x:f>F51*G51</x:f>
        <x:v>5000</x:v>
      </x:c>
      <x:c r="I51" s="52" t="str">
        <x:v>国产（待定）</x:v>
      </x:c>
      <x:c r="J51" s="51" t="str"/>
    </x:row>
    <x:row r="52" ht="44" customHeight="1">
      <x:c r="A52" s="52" t="n">
        <x:v>32</x:v>
      </x:c>
      <x:c r="B52" s="51" t="str">
        <x:v>配电系统</x:v>
      </x:c>
      <x:c r="C52" s="51" t="str">
        <x:v>电控箱</x:v>
      </x:c>
      <x:c r="D52" s="51" t="str">
        <x:v>碳钢+烤漆</x:v>
      </x:c>
      <x:c r="E52" s="52" t="str">
        <x:v>套</x:v>
      </x:c>
      <x:c r="F52" s="53" t="n">
        <x:v>1</x:v>
      </x:c>
      <x:c r="G52" s="55" t="n">
        <x:v>52000</x:v>
      </x:c>
      <x:c r="H52" s="55" t="n">
        <x:f>F52*G52</x:f>
        <x:v>52000</x:v>
      </x:c>
      <x:c r="I52" s="52" t="str">
        <x:v>国产（待定）</x:v>
      </x:c>
      <x:c r="J52" s="51" t="str"/>
    </x:row>
    <x:row r="53" ht="44" customHeight="1">
      <x:c r="A53" s="52" t="n">
        <x:v>33</x:v>
      </x:c>
      <x:c r="B53" s="51" t="str">
        <x:v>配电系统</x:v>
      </x:c>
      <x:c r="C53" s="51" t="str">
        <x:v>变频器</x:v>
      </x:c>
      <x:c r="D53" s="51" t="str"/>
      <x:c r="E53" s="52" t="str">
        <x:v>台</x:v>
      </x:c>
      <x:c r="F53" s="53" t="n">
        <x:v>1</x:v>
      </x:c>
      <x:c r="G53" s="55" t="n">
        <x:v>28000</x:v>
      </x:c>
      <x:c r="H53" s="55" t="n">
        <x:f>F53*G53</x:f>
        <x:v>28000</x:v>
      </x:c>
      <x:c r="I53" s="52" t="str">
        <x:v>国产（待定）</x:v>
      </x:c>
      <x:c r="J53" s="51" t="str">
        <x:v>原清单未标注规格、单位及数量，按系统配套功率配置</x:v>
      </x:c>
    </x:row>
    <x:row r="54" ht="44" customHeight="1">
      <x:c r="A54" s="52" t="n">
        <x:v>34</x:v>
      </x:c>
      <x:c r="B54" s="51" t="str">
        <x:v>配电系统</x:v>
      </x:c>
      <x:c r="C54" s="51" t="str">
        <x:v>电器元件</x:v>
      </x:c>
      <x:c r="D54" s="51" t="str">
        <x:v>正泰</x:v>
      </x:c>
      <x:c r="E54" s="52" t="str">
        <x:v>项</x:v>
      </x:c>
      <x:c r="F54" s="53" t="n">
        <x:v>1</x:v>
      </x:c>
      <x:c r="G54" s="55" t="n">
        <x:v>11500</x:v>
      </x:c>
      <x:c r="H54" s="55" t="n">
        <x:f>F54*G54</x:f>
        <x:v>11500</x:v>
      </x:c>
      <x:c r="I54" s="52" t="str">
        <x:v>正泰（国产）</x:v>
      </x:c>
      <x:c r="J54" s="51" t="str">
        <x:v>原清单未标注单位及数量，按成套配置计</x:v>
      </x:c>
    </x:row>
    <x:row r="55" ht="44" customHeight="1">
      <x:c r="A55" s="52" t="n">
        <x:v>35</x:v>
      </x:c>
      <x:c r="B55" s="51" t="str">
        <x:v>配电系统</x:v>
      </x:c>
      <x:c r="C55" s="51" t="str">
        <x:v>电线电缆</x:v>
      </x:c>
      <x:c r="D55" s="51" t="str">
        <x:v>金环宇</x:v>
      </x:c>
      <x:c r="E55" s="52" t="str">
        <x:v>项</x:v>
      </x:c>
      <x:c r="F55" s="53" t="n">
        <x:v>1</x:v>
      </x:c>
      <x:c r="G55" s="55" t="n">
        <x:v>16000</x:v>
      </x:c>
      <x:c r="H55" s="55" t="n">
        <x:f>F55*G55</x:f>
        <x:v>16000</x:v>
      </x:c>
      <x:c r="I55" s="52" t="str">
        <x:v>金环宇（国产）</x:v>
      </x:c>
      <x:c r="J55" s="51" t="str">
        <x:v>原清单未标注单位及数量，按成套配置计</x:v>
      </x:c>
    </x:row>
    <x:row r="56" ht="44" customHeight="1">
      <x:c r="A56" s="52" t="n">
        <x:v>36</x:v>
      </x:c>
      <x:c r="B56" s="51" t="str">
        <x:v>配电系统</x:v>
      </x:c>
      <x:c r="C56" s="51" t="str">
        <x:v>电线管</x:v>
      </x:c>
      <x:c r="D56" s="51" t="str">
        <x:v>PVC</x:v>
      </x:c>
      <x:c r="E56" s="52" t="str">
        <x:v>项</x:v>
      </x:c>
      <x:c r="F56" s="53" t="n">
        <x:v>1</x:v>
      </x:c>
      <x:c r="G56" s="55" t="n">
        <x:v>6200</x:v>
      </x:c>
      <x:c r="H56" s="55" t="n">
        <x:f>F56*G56</x:f>
        <x:v>6200</x:v>
      </x:c>
      <x:c r="I56" s="52" t="str">
        <x:v>国产（待定）</x:v>
      </x:c>
      <x:c r="J56" s="51" t="str">
        <x:v>原清单未标注单位及数量，按成套配置计</x:v>
      </x:c>
    </x:row>
    <x:row r="57" ht="24" customHeight="1">
      <x:c r="A57" s="64" t="str">
        <x:v>（二）3楼酸碱废气处理 主设备（编号：3F-酸碱4）  小计</x:v>
      </x:c>
      <x:c r="B57" s="64" t="str">
        <x:v>（二）3楼酸碱废气处理 主设备（编号：3F-酸碱4）  小计</x:v>
      </x:c>
      <x:c r="C57" s="64" t="str">
        <x:v>（二）3楼酸碱废气处理 主设备（编号：3F-酸碱4）  小计</x:v>
      </x:c>
      <x:c r="D57" s="64" t="str">
        <x:v>（二）3楼酸碱废气处理 主设备（编号：3F-酸碱4）  小计</x:v>
      </x:c>
      <x:c r="E57" s="64" t="str">
        <x:v>（二）3楼酸碱废气处理 主设备（编号：3F-酸碱4）  小计</x:v>
      </x:c>
      <x:c r="F57" s="65"/>
      <x:c r="G57" s="65"/>
      <x:c r="H57" s="66" t="n">
        <x:f>SUM(H39:H56)</x:f>
        <x:v>419500</x:v>
      </x:c>
      <x:c r="I57" s="65"/>
      <x:c r="J57" s="65"/>
    </x:row>
    <x:row r="58" ht="24" customHeight="1">
      <x:c r="A58" s="46" t="str">
        <x:v>（三）3楼酸碱废气处理 主设备（编号：3F-酸碱5）</x:v>
      </x:c>
      <x:c r="B58" s="46" t="str">
        <x:v>（三）3楼酸碱废气处理 主设备（编号：3F-酸碱5）</x:v>
      </x:c>
      <x:c r="C58" s="46" t="str">
        <x:v>（三）3楼酸碱废气处理 主设备（编号：3F-酸碱5）</x:v>
      </x:c>
      <x:c r="D58" s="46" t="str">
        <x:v>（三）3楼酸碱废气处理 主设备（编号：3F-酸碱5）</x:v>
      </x:c>
      <x:c r="E58" s="46" t="str">
        <x:v>（三）3楼酸碱废气处理 主设备（编号：3F-酸碱5）</x:v>
      </x:c>
      <x:c r="F58" s="46" t="str">
        <x:v>（三）3楼酸碱废气处理 主设备（编号：3F-酸碱5）</x:v>
      </x:c>
      <x:c r="G58" s="46" t="str">
        <x:v>（三）3楼酸碱废气处理 主设备（编号：3F-酸碱5）</x:v>
      </x:c>
      <x:c r="H58" s="46" t="str">
        <x:v>（三）3楼酸碱废气处理 主设备（编号：3F-酸碱5）</x:v>
      </x:c>
      <x:c r="I58" s="46" t="str">
        <x:v>（三）3楼酸碱废气处理 主设备（编号：3F-酸碱5）</x:v>
      </x:c>
      <x:c r="J58" s="46" t="str">
        <x:v>（三）3楼酸碱废气处理 主设备（编号：3F-酸碱5）</x:v>
      </x:c>
    </x:row>
    <x:row r="59" ht="44" customHeight="1">
      <x:c r="A59" s="52" t="n">
        <x:v>37</x:v>
      </x:c>
      <x:c r="B59" s="51" t="str">
        <x:v>喷淋净化塔</x:v>
      </x:c>
      <x:c r="C59" s="51" t="str">
        <x:v>喷淋塔塔体</x:v>
      </x:c>
      <x:c r="D59" s="51" t="str">
        <x:v>1、处理风量：80000m³/h
2、喷淋塔本体 尺寸：D4000mm*H8100mm 设计板厚:塔身12mm、底板厚度12mm；
3、观测窗口：采用直径500mm×厚度8mmPVC圆形透明设计密封，数量4个
4、喷淋管：采用直径75mm/直径63mm×壁厚4mmPP管制作、法兰连接、二层喷淋，一层除雾
5、喷头形式：螺旋式，直径25mmPP材质
6、配备直径25mmPVC进水管道、直径50mmPVC排水管道、溢流口、6分浮球开关补水控制</x:v>
      </x:c>
      <x:c r="E59" s="52" t="str">
        <x:v>套</x:v>
      </x:c>
      <x:c r="F59" s="53" t="n">
        <x:v>1</x:v>
      </x:c>
      <x:c r="G59" s="55" t="n">
        <x:v>88000</x:v>
      </x:c>
      <x:c r="H59" s="55" t="n">
        <x:f>F59*G59</x:f>
        <x:v>88000</x:v>
      </x:c>
      <x:c r="I59" s="52" t="str">
        <x:v>国产（待定）</x:v>
      </x:c>
      <x:c r="J59" s="51" t="str"/>
    </x:row>
    <x:row r="60" ht="44" customHeight="1">
      <x:c r="A60" s="52" t="n">
        <x:v>38</x:v>
      </x:c>
      <x:c r="B60" s="51" t="str">
        <x:v>喷淋净化塔</x:v>
      </x:c>
      <x:c r="C60" s="51" t="str">
        <x:v>填料</x:v>
      </x:c>
      <x:c r="D60" s="51" t="str">
        <x:v>填料规格：采用PP射出成形带刺空心球填料 尺寸：φ50mm， 填料用量:150720个</x:v>
      </x:c>
      <x:c r="E60" s="52" t="str">
        <x:v>项</x:v>
      </x:c>
      <x:c r="F60" s="53" t="n">
        <x:v>1</x:v>
      </x:c>
      <x:c r="G60" s="55" t="n">
        <x:v>11800</x:v>
      </x:c>
      <x:c r="H60" s="55" t="n">
        <x:f>F60*G60</x:f>
        <x:v>11800</x:v>
      </x:c>
      <x:c r="I60" s="52" t="str">
        <x:v>国产（待定）</x:v>
      </x:c>
      <x:c r="J60" s="51" t="str"/>
    </x:row>
    <x:row r="61" ht="44" customHeight="1">
      <x:c r="A61" s="52" t="n">
        <x:v>39</x:v>
      </x:c>
      <x:c r="B61" s="51" t="str">
        <x:v>喷淋净化塔</x:v>
      </x:c>
      <x:c r="C61" s="51" t="str">
        <x:v>循环喷淋管道</x:v>
      </x:c>
      <x:c r="D61" s="51" t="str">
        <x:v>材质：UPVC，耐压1.0MPa及以上，水管、弯头、法兰、等。</x:v>
      </x:c>
      <x:c r="E61" s="52" t="str">
        <x:v>项</x:v>
      </x:c>
      <x:c r="F61" s="53" t="n">
        <x:v>1</x:v>
      </x:c>
      <x:c r="G61" s="55" t="n">
        <x:v>5200</x:v>
      </x:c>
      <x:c r="H61" s="55" t="n">
        <x:f>F61*G61</x:f>
        <x:v>5200</x:v>
      </x:c>
      <x:c r="I61" s="52" t="str">
        <x:v>国产（待定）</x:v>
      </x:c>
      <x:c r="J61" s="51" t="str"/>
    </x:row>
    <x:row r="62" ht="44" customHeight="1">
      <x:c r="A62" s="52" t="n">
        <x:v>40</x:v>
      </x:c>
      <x:c r="B62" s="51" t="str">
        <x:v>大月弯</x:v>
      </x:c>
      <x:c r="C62" s="51" t="str">
        <x:v>大月弯</x:v>
      </x:c>
      <x:c r="D62" s="51" t="str">
        <x:v>直径：1350mm</x:v>
      </x:c>
      <x:c r="E62" s="52" t="str">
        <x:v>个</x:v>
      </x:c>
      <x:c r="F62" s="53" t="n">
        <x:v>1</x:v>
      </x:c>
      <x:c r="G62" s="55" t="n">
        <x:v>7000</x:v>
      </x:c>
      <x:c r="H62" s="55" t="n">
        <x:f>F62*G62</x:f>
        <x:v>7000</x:v>
      </x:c>
      <x:c r="I62" s="52" t="str">
        <x:v>国产（待定）</x:v>
      </x:c>
      <x:c r="J62" s="51" t="str"/>
    </x:row>
    <x:row r="63" ht="44" customHeight="1">
      <x:c r="A63" s="52" t="n">
        <x:v>41</x:v>
      </x:c>
      <x:c r="B63" s="51" t="str">
        <x:v>设备连接系统</x:v>
      </x:c>
      <x:c r="C63" s="51" t="str">
        <x:v>φ1350mm风管及管件</x:v>
      </x:c>
      <x:c r="D63" s="51" t="str">
        <x:v>含弯头及风管 直径：1350mm 风管数量：4.5m 90°弯头:1个 所有风管及管件法兰连接</x:v>
      </x:c>
      <x:c r="E63" s="52" t="str">
        <x:v>项</x:v>
      </x:c>
      <x:c r="F63" s="53" t="n">
        <x:v>1</x:v>
      </x:c>
      <x:c r="G63" s="55" t="n">
        <x:v>4200</x:v>
      </x:c>
      <x:c r="H63" s="55" t="n">
        <x:f>F63*G63</x:f>
        <x:v>4200</x:v>
      </x:c>
      <x:c r="I63" s="52" t="str">
        <x:v>国产（待定）</x:v>
      </x:c>
      <x:c r="J63" s="51" t="str"/>
    </x:row>
    <x:row r="64" ht="44" customHeight="1">
      <x:c r="A64" s="52" t="n">
        <x:v>42</x:v>
      </x:c>
      <x:c r="B64" s="51" t="str">
        <x:v>排放管</x:v>
      </x:c>
      <x:c r="C64" s="51" t="str">
        <x:v>排放管</x:v>
      </x:c>
      <x:c r="D64" s="51" t="str">
        <x:v>烟囱、风帽、及避雷设施 烟囱直径：1350mm 烟囱数量：7.5m。 带取样口</x:v>
      </x:c>
      <x:c r="E64" s="52" t="str">
        <x:v>套</x:v>
      </x:c>
      <x:c r="F64" s="53" t="n">
        <x:v>1</x:v>
      </x:c>
      <x:c r="G64" s="55" t="n">
        <x:v>13800</x:v>
      </x:c>
      <x:c r="H64" s="55" t="n">
        <x:f>F64*G64</x:f>
        <x:v>13800</x:v>
      </x:c>
      <x:c r="I64" s="52" t="str">
        <x:v>国产（待定）</x:v>
      </x:c>
      <x:c r="J64" s="51" t="str">
        <x:v>原清单表述为“烟囱数量：7.5m”，按7.5m高烟囱及附件成套计</x:v>
      </x:c>
    </x:row>
    <x:row r="65" ht="44" customHeight="1">
      <x:c r="A65" s="52" t="n">
        <x:v>43</x:v>
      </x:c>
      <x:c r="B65" s="51" t="str">
        <x:v>排放管</x:v>
      </x:c>
      <x:c r="C65" s="51" t="str">
        <x:v>防雨帽</x:v>
      </x:c>
      <x:c r="D65" s="51" t="str">
        <x:v>设备配套定制款</x:v>
      </x:c>
      <x:c r="E65" s="52" t="str">
        <x:v>个</x:v>
      </x:c>
      <x:c r="F65" s="53" t="n">
        <x:v>1</x:v>
      </x:c>
      <x:c r="G65" s="55" t="n">
        <x:v>2100</x:v>
      </x:c>
      <x:c r="H65" s="55" t="n">
        <x:f>F65*G65</x:f>
        <x:v>2100</x:v>
      </x:c>
      <x:c r="I65" s="52" t="str">
        <x:v>国产（待定）</x:v>
      </x:c>
      <x:c r="J65" s="51" t="str"/>
    </x:row>
    <x:row r="66" ht="44" customHeight="1">
      <x:c r="A66" s="52" t="n">
        <x:v>44</x:v>
      </x:c>
      <x:c r="B66" s="51" t="str">
        <x:v>检测平台</x:v>
      </x:c>
      <x:c r="C66" s="51" t="str">
        <x:v>检测平台</x:v>
      </x:c>
      <x:c r="D66" s="51" t="str">
        <x:v>平台固定座：铁板 平台立柱：方通 平台护栏：方通 平台地面及踏步：花纹板 平台立柱黄色防腐油漆，其他为深灰色防腐油漆</x:v>
      </x:c>
      <x:c r="E66" s="52" t="str">
        <x:v>套</x:v>
      </x:c>
      <x:c r="F66" s="53" t="n">
        <x:v>1</x:v>
      </x:c>
      <x:c r="G66" s="55" t="n">
        <x:v>13500</x:v>
      </x:c>
      <x:c r="H66" s="55" t="n">
        <x:f>F66*G66</x:f>
        <x:v>13500</x:v>
      </x:c>
      <x:c r="I66" s="52" t="str">
        <x:v>国产（待定）</x:v>
      </x:c>
      <x:c r="J66" s="51" t="str"/>
    </x:row>
    <x:row r="67" ht="44" customHeight="1">
      <x:c r="A67" s="52" t="n">
        <x:v>45</x:v>
      </x:c>
      <x:c r="B67" s="51" t="str">
        <x:v>风机</x:v>
      </x:c>
      <x:c r="C67" s="51" t="str">
        <x:v>风机</x:v>
      </x:c>
      <x:c r="D67" s="51" t="str">
        <x:v>型号：FAN-SYS-090-75KW 处理风量：80000m³/h 压力：1800Pa</x:v>
      </x:c>
      <x:c r="E67" s="52" t="str">
        <x:v>台</x:v>
      </x:c>
      <x:c r="F67" s="53" t="n">
        <x:v>1</x:v>
      </x:c>
      <x:c r="G67" s="55" t="n">
        <x:v>131000</x:v>
      </x:c>
      <x:c r="H67" s="55" t="n">
        <x:f>F67*G67</x:f>
        <x:v>131000</x:v>
      </x:c>
      <x:c r="I67" s="52" t="str">
        <x:v>国产（待定）</x:v>
      </x:c>
      <x:c r="J67" s="51" t="str"/>
    </x:row>
    <x:row r="68" ht="44" customHeight="1">
      <x:c r="A68" s="52" t="n">
        <x:v>46</x:v>
      </x:c>
      <x:c r="B68" s="51" t="str">
        <x:v>循环喷淋系统</x:v>
      </x:c>
      <x:c r="C68" s="51" t="str">
        <x:v>喷淋循环泵</x:v>
      </x:c>
      <x:c r="D68" s="51" t="str">
        <x:v>功率:10HP 流量：55m³/h 扬程：28M</x:v>
      </x:c>
      <x:c r="E68" s="52" t="str">
        <x:v>台</x:v>
      </x:c>
      <x:c r="F68" s="53" t="n">
        <x:v>2</x:v>
      </x:c>
      <x:c r="G68" s="55" t="n">
        <x:v>7000</x:v>
      </x:c>
      <x:c r="H68" s="55" t="n">
        <x:f>F68*G68</x:f>
        <x:v>14000</x:v>
      </x:c>
      <x:c r="I68" s="52" t="str">
        <x:v>国产（待定）</x:v>
      </x:c>
      <x:c r="J68" s="51" t="str"/>
    </x:row>
    <x:row r="69" ht="44" customHeight="1">
      <x:c r="A69" s="52" t="n">
        <x:v>47</x:v>
      </x:c>
      <x:c r="B69" s="51" t="str">
        <x:v>自动加药系统</x:v>
      </x:c>
      <x:c r="C69" s="51" t="str">
        <x:v>PH计</x:v>
      </x:c>
      <x:c r="D69" s="51" t="str">
        <x:v>使用部位喷淋塔塔体,仪表+探头</x:v>
      </x:c>
      <x:c r="E69" s="52" t="str">
        <x:v>套</x:v>
      </x:c>
      <x:c r="F69" s="53" t="n">
        <x:v>1</x:v>
      </x:c>
      <x:c r="G69" s="55" t="n">
        <x:v>7200</x:v>
      </x:c>
      <x:c r="H69" s="55" t="n">
        <x:f>F69*G69</x:f>
        <x:v>7200</x:v>
      </x:c>
      <x:c r="I69" s="52" t="str">
        <x:v>国产（待定）</x:v>
      </x:c>
      <x:c r="J69" s="51" t="str"/>
    </x:row>
    <x:row r="70" ht="44" customHeight="1">
      <x:c r="A70" s="52" t="n">
        <x:v>48</x:v>
      </x:c>
      <x:c r="B70" s="51" t="str">
        <x:v>自动加药系统</x:v>
      </x:c>
      <x:c r="C70" s="51" t="str">
        <x:v>加药泵</x:v>
      </x:c>
      <x:c r="D70" s="51" t="str">
        <x:v>MD-40RM</x:v>
      </x:c>
      <x:c r="E70" s="52" t="str">
        <x:v>台</x:v>
      </x:c>
      <x:c r="F70" s="53" t="n">
        <x:v>1</x:v>
      </x:c>
      <x:c r="G70" s="55" t="n">
        <x:v>3000</x:v>
      </x:c>
      <x:c r="H70" s="55" t="n">
        <x:f>F70*G70</x:f>
        <x:v>3000</x:v>
      </x:c>
      <x:c r="I70" s="52" t="str">
        <x:v>国产（待定）</x:v>
      </x:c>
      <x:c r="J70" s="51" t="str"/>
    </x:row>
    <x:row r="71" ht="44" customHeight="1">
      <x:c r="A71" s="52" t="n">
        <x:v>49</x:v>
      </x:c>
      <x:c r="B71" s="51" t="str">
        <x:v>自动加药系统</x:v>
      </x:c>
      <x:c r="C71" s="51" t="str">
        <x:v>储药箱</x:v>
      </x:c>
      <x:c r="D71" s="51" t="str">
        <x:v>材质：PP阻燃，含配套输送管道系统等附件</x:v>
      </x:c>
      <x:c r="E71" s="52" t="str">
        <x:v>套</x:v>
      </x:c>
      <x:c r="F71" s="53" t="n">
        <x:v>1</x:v>
      </x:c>
      <x:c r="G71" s="55" t="n">
        <x:v>5000</x:v>
      </x:c>
      <x:c r="H71" s="55" t="n">
        <x:f>F71*G71</x:f>
        <x:v>5000</x:v>
      </x:c>
      <x:c r="I71" s="52" t="str">
        <x:v>国产（待定）</x:v>
      </x:c>
      <x:c r="J71" s="51" t="str"/>
    </x:row>
    <x:row r="72" ht="44" customHeight="1">
      <x:c r="A72" s="52" t="n">
        <x:v>50</x:v>
      </x:c>
      <x:c r="B72" s="51" t="str">
        <x:v>配电系统</x:v>
      </x:c>
      <x:c r="C72" s="51" t="str">
        <x:v>电控箱</x:v>
      </x:c>
      <x:c r="D72" s="51" t="str">
        <x:v>碳钢+烤漆</x:v>
      </x:c>
      <x:c r="E72" s="52" t="str">
        <x:v>套</x:v>
      </x:c>
      <x:c r="F72" s="53" t="n">
        <x:v>1</x:v>
      </x:c>
      <x:c r="G72" s="55" t="n">
        <x:v>52000</x:v>
      </x:c>
      <x:c r="H72" s="55" t="n">
        <x:f>F72*G72</x:f>
        <x:v>52000</x:v>
      </x:c>
      <x:c r="I72" s="52" t="str">
        <x:v>国产（待定）</x:v>
      </x:c>
      <x:c r="J72" s="51" t="str"/>
    </x:row>
    <x:row r="73" ht="44" customHeight="1">
      <x:c r="A73" s="52" t="n">
        <x:v>51</x:v>
      </x:c>
      <x:c r="B73" s="51" t="str">
        <x:v>配电系统</x:v>
      </x:c>
      <x:c r="C73" s="51" t="str">
        <x:v>变频器</x:v>
      </x:c>
      <x:c r="D73" s="51" t="str"/>
      <x:c r="E73" s="52" t="str">
        <x:v>台</x:v>
      </x:c>
      <x:c r="F73" s="53" t="n">
        <x:v>1</x:v>
      </x:c>
      <x:c r="G73" s="55" t="n">
        <x:v>28000</x:v>
      </x:c>
      <x:c r="H73" s="55" t="n">
        <x:f>F73*G73</x:f>
        <x:v>28000</x:v>
      </x:c>
      <x:c r="I73" s="52" t="str">
        <x:v>国产（待定）</x:v>
      </x:c>
      <x:c r="J73" s="51" t="str">
        <x:v>原清单未标注规格、单位及数量，按系统配套功率配置</x:v>
      </x:c>
    </x:row>
    <x:row r="74" ht="44" customHeight="1">
      <x:c r="A74" s="52" t="n">
        <x:v>52</x:v>
      </x:c>
      <x:c r="B74" s="51" t="str">
        <x:v>配电系统</x:v>
      </x:c>
      <x:c r="C74" s="51" t="str">
        <x:v>电器元件</x:v>
      </x:c>
      <x:c r="D74" s="51" t="str">
        <x:v>正泰</x:v>
      </x:c>
      <x:c r="E74" s="52" t="str">
        <x:v>项</x:v>
      </x:c>
      <x:c r="F74" s="53" t="n">
        <x:v>1</x:v>
      </x:c>
      <x:c r="G74" s="55" t="n">
        <x:v>11500</x:v>
      </x:c>
      <x:c r="H74" s="55" t="n">
        <x:f>F74*G74</x:f>
        <x:v>11500</x:v>
      </x:c>
      <x:c r="I74" s="52" t="str">
        <x:v>正泰（国产）</x:v>
      </x:c>
      <x:c r="J74" s="51" t="str">
        <x:v>原清单未标注单位及数量，按成套配置计</x:v>
      </x:c>
    </x:row>
    <x:row r="75" ht="44" customHeight="1">
      <x:c r="A75" s="52" t="n">
        <x:v>53</x:v>
      </x:c>
      <x:c r="B75" s="51" t="str">
        <x:v>配电系统</x:v>
      </x:c>
      <x:c r="C75" s="51" t="str">
        <x:v>电线电缆</x:v>
      </x:c>
      <x:c r="D75" s="51" t="str">
        <x:v>金环宇</x:v>
      </x:c>
      <x:c r="E75" s="52" t="str">
        <x:v>项</x:v>
      </x:c>
      <x:c r="F75" s="53" t="n">
        <x:v>1</x:v>
      </x:c>
      <x:c r="G75" s="55" t="n">
        <x:v>16000</x:v>
      </x:c>
      <x:c r="H75" s="55" t="n">
        <x:f>F75*G75</x:f>
        <x:v>16000</x:v>
      </x:c>
      <x:c r="I75" s="52" t="str">
        <x:v>金环宇（国产）</x:v>
      </x:c>
      <x:c r="J75" s="51" t="str">
        <x:v>原清单未标注单位及数量，按成套配置计</x:v>
      </x:c>
    </x:row>
    <x:row r="76" ht="44" customHeight="1">
      <x:c r="A76" s="52" t="n">
        <x:v>54</x:v>
      </x:c>
      <x:c r="B76" s="51" t="str">
        <x:v>配电系统</x:v>
      </x:c>
      <x:c r="C76" s="51" t="str">
        <x:v>电线管</x:v>
      </x:c>
      <x:c r="D76" s="51" t="str">
        <x:v>PVC</x:v>
      </x:c>
      <x:c r="E76" s="52" t="str">
        <x:v>项</x:v>
      </x:c>
      <x:c r="F76" s="53" t="n">
        <x:v>1</x:v>
      </x:c>
      <x:c r="G76" s="55" t="n">
        <x:v>6200</x:v>
      </x:c>
      <x:c r="H76" s="55" t="n">
        <x:f>F76*G76</x:f>
        <x:v>6200</x:v>
      </x:c>
      <x:c r="I76" s="52" t="str">
        <x:v>国产（待定）</x:v>
      </x:c>
      <x:c r="J76" s="51" t="str">
        <x:v>原清单未标注单位及数量，按成套配置计</x:v>
      </x:c>
    </x:row>
    <x:row r="77" ht="24" customHeight="1">
      <x:c r="A77" s="64" t="str">
        <x:v>（三）3楼酸碱废气处理 主设备（编号：3F-酸碱5）  小计</x:v>
      </x:c>
      <x:c r="B77" s="64" t="str">
        <x:v>（三）3楼酸碱废气处理 主设备（编号：3F-酸碱5）  小计</x:v>
      </x:c>
      <x:c r="C77" s="64" t="str">
        <x:v>（三）3楼酸碱废气处理 主设备（编号：3F-酸碱5）  小计</x:v>
      </x:c>
      <x:c r="D77" s="64" t="str">
        <x:v>（三）3楼酸碱废气处理 主设备（编号：3F-酸碱5）  小计</x:v>
      </x:c>
      <x:c r="E77" s="64" t="str">
        <x:v>（三）3楼酸碱废气处理 主设备（编号：3F-酸碱5）  小计</x:v>
      </x:c>
      <x:c r="F77" s="65"/>
      <x:c r="G77" s="65"/>
      <x:c r="H77" s="66" t="n">
        <x:f>SUM(H59:H76)</x:f>
        <x:v>419500</x:v>
      </x:c>
      <x:c r="I77" s="65"/>
      <x:c r="J77" s="65"/>
    </x:row>
    <x:row r="78" ht="24" customHeight="1">
      <x:c r="A78" s="46" t="str">
        <x:v>（四）3楼车间新风送风 主设备（编号：3F-送风4）</x:v>
      </x:c>
      <x:c r="B78" s="46" t="str">
        <x:v>（四）3楼车间新风送风 主设备（编号：3F-送风4）</x:v>
      </x:c>
      <x:c r="C78" s="46" t="str">
        <x:v>（四）3楼车间新风送风 主设备（编号：3F-送风4）</x:v>
      </x:c>
      <x:c r="D78" s="46" t="str">
        <x:v>（四）3楼车间新风送风 主设备（编号：3F-送风4）</x:v>
      </x:c>
      <x:c r="E78" s="46" t="str">
        <x:v>（四）3楼车间新风送风 主设备（编号：3F-送风4）</x:v>
      </x:c>
      <x:c r="F78" s="46" t="str">
        <x:v>（四）3楼车间新风送风 主设备（编号：3F-送风4）</x:v>
      </x:c>
      <x:c r="G78" s="46" t="str">
        <x:v>（四）3楼车间新风送风 主设备（编号：3F-送风4）</x:v>
      </x:c>
      <x:c r="H78" s="46" t="str">
        <x:v>（四）3楼车间新风送风 主设备（编号：3F-送风4）</x:v>
      </x:c>
      <x:c r="I78" s="46" t="str">
        <x:v>（四）3楼车间新风送风 主设备（编号：3F-送风4）</x:v>
      </x:c>
      <x:c r="J78" s="46" t="str">
        <x:v>（四）3楼车间新风送风 主设备（编号：3F-送风4）</x:v>
      </x:c>
    </x:row>
    <x:row r="79" ht="44" customHeight="1">
      <x:c r="A79" s="52" t="n">
        <x:v>55</x:v>
      </x:c>
      <x:c r="B79" s="51" t="str">
        <x:v>蒸发式车间送风机组（送风机）</x:v>
      </x:c>
      <x:c r="C79" s="51" t="str">
        <x:v>蒸发式车间送风机组（送风机）</x:v>
      </x:c>
      <x:c r="D79" s="51" t="str">
        <x:v>尺寸：长2055*宽1770*高1440mm 最大风量:60000m³/h 最大风压:≥680Pa; 出风方向，侧中风 采用优质蒸发水帘: 电源:380V: 电机功率:15KW</x:v>
      </x:c>
      <x:c r="E79" s="52" t="str">
        <x:v>台</x:v>
      </x:c>
      <x:c r="F79" s="53" t="n">
        <x:v>1</x:v>
      </x:c>
      <x:c r="G79" s="55" t="n">
        <x:v>102000</x:v>
      </x:c>
      <x:c r="H79" s="55" t="n">
        <x:f>F79*G79</x:f>
        <x:v>102000</x:v>
      </x:c>
      <x:c r="I79" s="52" t="str">
        <x:v>国产（待定）</x:v>
      </x:c>
      <x:c r="J79" s="51" t="str"/>
    </x:row>
    <x:row r="80" ht="44" customHeight="1">
      <x:c r="A80" s="52" t="n">
        <x:v>56</x:v>
      </x:c>
      <x:c r="B80" s="51" t="str">
        <x:v>配电系统</x:v>
      </x:c>
      <x:c r="C80" s="51" t="str">
        <x:v>电控箱</x:v>
      </x:c>
      <x:c r="D80" s="51" t="str">
        <x:v>碳钢+烤漆</x:v>
      </x:c>
      <x:c r="E80" s="52" t="str">
        <x:v>套</x:v>
      </x:c>
      <x:c r="F80" s="53" t="n">
        <x:v>1</x:v>
      </x:c>
      <x:c r="G80" s="55" t="n">
        <x:v>28000</x:v>
      </x:c>
      <x:c r="H80" s="55" t="n">
        <x:f>F80*G80</x:f>
        <x:v>28000</x:v>
      </x:c>
      <x:c r="I80" s="52" t="str">
        <x:v>国产（待定）</x:v>
      </x:c>
      <x:c r="J80" s="51" t="str"/>
    </x:row>
    <x:row r="81" ht="44" customHeight="1">
      <x:c r="A81" s="52" t="n">
        <x:v>57</x:v>
      </x:c>
      <x:c r="B81" s="51" t="str">
        <x:v>配电系统</x:v>
      </x:c>
      <x:c r="C81" s="51" t="str">
        <x:v>电器元件</x:v>
      </x:c>
      <x:c r="D81" s="51" t="str">
        <x:v>正泰</x:v>
      </x:c>
      <x:c r="E81" s="52" t="str">
        <x:v>项</x:v>
      </x:c>
      <x:c r="F81" s="53" t="n">
        <x:v>1</x:v>
      </x:c>
      <x:c r="G81" s="55" t="n">
        <x:v>7000</x:v>
      </x:c>
      <x:c r="H81" s="55" t="n">
        <x:f>F81*G81</x:f>
        <x:v>7000</x:v>
      </x:c>
      <x:c r="I81" s="52" t="str">
        <x:v>正泰（国产）</x:v>
      </x:c>
      <x:c r="J81" s="51" t="str">
        <x:v>原清单未标注单位及数量，按成套配置计</x:v>
      </x:c>
    </x:row>
    <x:row r="82" ht="44" customHeight="1">
      <x:c r="A82" s="52" t="n">
        <x:v>58</x:v>
      </x:c>
      <x:c r="B82" s="51" t="str">
        <x:v>配电系统</x:v>
      </x:c>
      <x:c r="C82" s="51" t="str">
        <x:v>电线电缆</x:v>
      </x:c>
      <x:c r="D82" s="51" t="str"/>
      <x:c r="E82" s="52" t="str">
        <x:v>项</x:v>
      </x:c>
      <x:c r="F82" s="53" t="n">
        <x:v>1</x:v>
      </x:c>
      <x:c r="G82" s="55" t="n">
        <x:v>8500</x:v>
      </x:c>
      <x:c r="H82" s="55" t="n">
        <x:f>F82*G82</x:f>
        <x:v>8500</x:v>
      </x:c>
      <x:c r="I82" s="52" t="str">
        <x:v>国优（国产）</x:v>
      </x:c>
      <x:c r="J82" s="51" t="str">
        <x:v>原清单未标注规格、单位及数量，按成套配置计</x:v>
      </x:c>
    </x:row>
    <x:row r="83" ht="44" customHeight="1">
      <x:c r="A83" s="52" t="n">
        <x:v>59</x:v>
      </x:c>
      <x:c r="B83" s="51" t="str">
        <x:v>配电系统</x:v>
      </x:c>
      <x:c r="C83" s="51" t="str">
        <x:v>电线管</x:v>
      </x:c>
      <x:c r="D83" s="51" t="str">
        <x:v>PVC</x:v>
      </x:c>
      <x:c r="E83" s="52" t="str">
        <x:v>项</x:v>
      </x:c>
      <x:c r="F83" s="53" t="n">
        <x:v>1</x:v>
      </x:c>
      <x:c r="G83" s="55" t="n">
        <x:v>3200</x:v>
      </x:c>
      <x:c r="H83" s="55" t="n">
        <x:f>F83*G83</x:f>
        <x:v>3200</x:v>
      </x:c>
      <x:c r="I83" s="52" t="str">
        <x:v>国产（待定）</x:v>
      </x:c>
      <x:c r="J83" s="51" t="str">
        <x:v>原清单未标注单位及数量，按成套配置计</x:v>
      </x:c>
    </x:row>
    <x:row r="84" ht="24" customHeight="1">
      <x:c r="A84" s="64" t="str">
        <x:v>（四）3楼车间新风送风 主设备（编号：3F-送风4）  小计</x:v>
      </x:c>
      <x:c r="B84" s="64" t="str">
        <x:v>（四）3楼车间新风送风 主设备（编号：3F-送风4）  小计</x:v>
      </x:c>
      <x:c r="C84" s="64" t="str">
        <x:v>（四）3楼车间新风送风 主设备（编号：3F-送风4）  小计</x:v>
      </x:c>
      <x:c r="D84" s="64" t="str">
        <x:v>（四）3楼车间新风送风 主设备（编号：3F-送风4）  小计</x:v>
      </x:c>
      <x:c r="E84" s="64" t="str">
        <x:v>（四）3楼车间新风送风 主设备（编号：3F-送风4）  小计</x:v>
      </x:c>
      <x:c r="F84" s="65"/>
      <x:c r="G84" s="65"/>
      <x:c r="H84" s="66" t="n">
        <x:f>SUM(H79:H83)</x:f>
        <x:v>148700</x:v>
      </x:c>
      <x:c r="I84" s="65"/>
      <x:c r="J84" s="65"/>
    </x:row>
    <x:row r="85" ht="24" customHeight="1">
      <x:c r="A85" s="46" t="str">
        <x:v>（五）3楼车间新风送风 主设备（编号：3F-送风5）</x:v>
      </x:c>
      <x:c r="B85" s="46" t="str">
        <x:v>（五）3楼车间新风送风 主设备（编号：3F-送风5）</x:v>
      </x:c>
      <x:c r="C85" s="46" t="str">
        <x:v>（五）3楼车间新风送风 主设备（编号：3F-送风5）</x:v>
      </x:c>
      <x:c r="D85" s="46" t="str">
        <x:v>（五）3楼车间新风送风 主设备（编号：3F-送风5）</x:v>
      </x:c>
      <x:c r="E85" s="46" t="str">
        <x:v>（五）3楼车间新风送风 主设备（编号：3F-送风5）</x:v>
      </x:c>
      <x:c r="F85" s="46" t="str">
        <x:v>（五）3楼车间新风送风 主设备（编号：3F-送风5）</x:v>
      </x:c>
      <x:c r="G85" s="46" t="str">
        <x:v>（五）3楼车间新风送风 主设备（编号：3F-送风5）</x:v>
      </x:c>
      <x:c r="H85" s="46" t="str">
        <x:v>（五）3楼车间新风送风 主设备（编号：3F-送风5）</x:v>
      </x:c>
      <x:c r="I85" s="46" t="str">
        <x:v>（五）3楼车间新风送风 主设备（编号：3F-送风5）</x:v>
      </x:c>
      <x:c r="J85" s="46" t="str">
        <x:v>（五）3楼车间新风送风 主设备（编号：3F-送风5）</x:v>
      </x:c>
    </x:row>
    <x:row r="86" ht="44" customHeight="1">
      <x:c r="A86" s="52" t="n">
        <x:v>60</x:v>
      </x:c>
      <x:c r="B86" s="51" t="str">
        <x:v>蒸发式车间送风机组（送风机）</x:v>
      </x:c>
      <x:c r="C86" s="51" t="str">
        <x:v>蒸发式车间送风机组（送风机）</x:v>
      </x:c>
      <x:c r="D86" s="51" t="str">
        <x:v>尺寸：长2055*宽1770*高1440mm 最大风量:60000m³/h 最大风压:≥680Pa; 出风方向，侧中风 采用优质蒸发水帘: 电源:380V: 电机功率:15KW</x:v>
      </x:c>
      <x:c r="E86" s="52" t="str">
        <x:v>台</x:v>
      </x:c>
      <x:c r="F86" s="53" t="n">
        <x:v>1</x:v>
      </x:c>
      <x:c r="G86" s="55" t="n">
        <x:v>102000</x:v>
      </x:c>
      <x:c r="H86" s="55" t="n">
        <x:f>F86*G86</x:f>
        <x:v>102000</x:v>
      </x:c>
      <x:c r="I86" s="52" t="str">
        <x:v>国产（待定）</x:v>
      </x:c>
      <x:c r="J86" s="51" t="str"/>
    </x:row>
    <x:row r="87" ht="44" customHeight="1">
      <x:c r="A87" s="52" t="n">
        <x:v>61</x:v>
      </x:c>
      <x:c r="B87" s="51" t="str">
        <x:v>配电系统</x:v>
      </x:c>
      <x:c r="C87" s="51" t="str">
        <x:v>电控箱</x:v>
      </x:c>
      <x:c r="D87" s="51" t="str">
        <x:v>碳钢+烤漆</x:v>
      </x:c>
      <x:c r="E87" s="52" t="str">
        <x:v>套</x:v>
      </x:c>
      <x:c r="F87" s="53" t="n">
        <x:v>1</x:v>
      </x:c>
      <x:c r="G87" s="55" t="n">
        <x:v>28000</x:v>
      </x:c>
      <x:c r="H87" s="55" t="n">
        <x:f>F87*G87</x:f>
        <x:v>28000</x:v>
      </x:c>
      <x:c r="I87" s="52" t="str">
        <x:v>国产（待定）</x:v>
      </x:c>
      <x:c r="J87" s="51" t="str"/>
    </x:row>
    <x:row r="88" ht="44" customHeight="1">
      <x:c r="A88" s="52" t="n">
        <x:v>62</x:v>
      </x:c>
      <x:c r="B88" s="51" t="str">
        <x:v>配电系统</x:v>
      </x:c>
      <x:c r="C88" s="51" t="str">
        <x:v>电器元件</x:v>
      </x:c>
      <x:c r="D88" s="51" t="str">
        <x:v>正泰</x:v>
      </x:c>
      <x:c r="E88" s="52" t="str">
        <x:v>项</x:v>
      </x:c>
      <x:c r="F88" s="53" t="n">
        <x:v>1</x:v>
      </x:c>
      <x:c r="G88" s="55" t="n">
        <x:v>7000</x:v>
      </x:c>
      <x:c r="H88" s="55" t="n">
        <x:f>F88*G88</x:f>
        <x:v>7000</x:v>
      </x:c>
      <x:c r="I88" s="52" t="str">
        <x:v>正泰（国产）</x:v>
      </x:c>
      <x:c r="J88" s="51" t="str">
        <x:v>原清单未标注单位及数量，按成套配置计</x:v>
      </x:c>
    </x:row>
    <x:row r="89" ht="44" customHeight="1">
      <x:c r="A89" s="52" t="n">
        <x:v>63</x:v>
      </x:c>
      <x:c r="B89" s="51" t="str">
        <x:v>配电系统</x:v>
      </x:c>
      <x:c r="C89" s="51" t="str">
        <x:v>电线电缆</x:v>
      </x:c>
      <x:c r="D89" s="51" t="str"/>
      <x:c r="E89" s="52" t="str">
        <x:v>项</x:v>
      </x:c>
      <x:c r="F89" s="53" t="n">
        <x:v>1</x:v>
      </x:c>
      <x:c r="G89" s="55" t="n">
        <x:v>8500</x:v>
      </x:c>
      <x:c r="H89" s="55" t="n">
        <x:f>F89*G89</x:f>
        <x:v>8500</x:v>
      </x:c>
      <x:c r="I89" s="52" t="str">
        <x:v>国优（国产）</x:v>
      </x:c>
      <x:c r="J89" s="51" t="str">
        <x:v>原清单未标注规格、单位及数量，按成套配置计</x:v>
      </x:c>
    </x:row>
    <x:row r="90" ht="44" customHeight="1">
      <x:c r="A90" s="52" t="n">
        <x:v>64</x:v>
      </x:c>
      <x:c r="B90" s="51" t="str">
        <x:v>配电系统</x:v>
      </x:c>
      <x:c r="C90" s="51" t="str">
        <x:v>电线管</x:v>
      </x:c>
      <x:c r="D90" s="51" t="str">
        <x:v>PVC</x:v>
      </x:c>
      <x:c r="E90" s="52" t="str">
        <x:v>项</x:v>
      </x:c>
      <x:c r="F90" s="53" t="n">
        <x:v>1</x:v>
      </x:c>
      <x:c r="G90" s="55" t="n">
        <x:v>3200</x:v>
      </x:c>
      <x:c r="H90" s="55" t="n">
        <x:f>F90*G90</x:f>
        <x:v>3200</x:v>
      </x:c>
      <x:c r="I90" s="52" t="str">
        <x:v>国产（待定）</x:v>
      </x:c>
      <x:c r="J90" s="51" t="str">
        <x:v>原清单未标注单位及数量，按成套配置计</x:v>
      </x:c>
    </x:row>
    <x:row r="91" ht="24" customHeight="1">
      <x:c r="A91" s="64" t="str">
        <x:v>（五）3楼车间新风送风 主设备（编号：3F-送风5）  小计</x:v>
      </x:c>
      <x:c r="B91" s="64" t="str">
        <x:v>（五）3楼车间新风送风 主设备（编号：3F-送风5）  小计</x:v>
      </x:c>
      <x:c r="C91" s="64" t="str">
        <x:v>（五）3楼车间新风送风 主设备（编号：3F-送风5）  小计</x:v>
      </x:c>
      <x:c r="D91" s="64" t="str">
        <x:v>（五）3楼车间新风送风 主设备（编号：3F-送风5）  小计</x:v>
      </x:c>
      <x:c r="E91" s="64" t="str">
        <x:v>（五）3楼车间新风送风 主设备（编号：3F-送风5）  小计</x:v>
      </x:c>
      <x:c r="F91" s="65"/>
      <x:c r="G91" s="65"/>
      <x:c r="H91" s="66" t="n">
        <x:f>SUM(H86:H90)</x:f>
        <x:v>148700</x:v>
      </x:c>
      <x:c r="I91" s="65"/>
      <x:c r="J91" s="65"/>
    </x:row>
    <x:row r="92" ht="24" customHeight="1">
      <x:c r="A92" s="46" t="str">
        <x:v>（六）1至3楼共用含氰废气抽风 管道系统（编号：（1F-3F）-含氰1）</x:v>
      </x:c>
      <x:c r="B92" s="46" t="str">
        <x:v>（六）1至3楼共用含氰废气抽风 管道系统（编号：（1F-3F）-含氰1）</x:v>
      </x:c>
      <x:c r="C92" s="46" t="str">
        <x:v>（六）1至3楼共用含氰废气抽风 管道系统（编号：（1F-3F）-含氰1）</x:v>
      </x:c>
      <x:c r="D92" s="46" t="str">
        <x:v>（六）1至3楼共用含氰废气抽风 管道系统（编号：（1F-3F）-含氰1）</x:v>
      </x:c>
      <x:c r="E92" s="46" t="str">
        <x:v>（六）1至3楼共用含氰废气抽风 管道系统（编号：（1F-3F）-含氰1）</x:v>
      </x:c>
      <x:c r="F92" s="46" t="str">
        <x:v>（六）1至3楼共用含氰废气抽风 管道系统（编号：（1F-3F）-含氰1）</x:v>
      </x:c>
      <x:c r="G92" s="46" t="str">
        <x:v>（六）1至3楼共用含氰废气抽风 管道系统（编号：（1F-3F）-含氰1）</x:v>
      </x:c>
      <x:c r="H92" s="46" t="str">
        <x:v>（六）1至3楼共用含氰废气抽风 管道系统（编号：（1F-3F）-含氰1）</x:v>
      </x:c>
      <x:c r="I92" s="46" t="str">
        <x:v>（六）1至3楼共用含氰废气抽风 管道系统（编号：（1F-3F）-含氰1）</x:v>
      </x:c>
      <x:c r="J92" s="46" t="str">
        <x:v>（六）1至3楼共用含氰废气抽风 管道系统（编号：（1F-3F）-含氰1）</x:v>
      </x:c>
    </x:row>
    <x:row r="93" ht="44" customHeight="1">
      <x:c r="A93" s="52" t="n">
        <x:v>65</x:v>
      </x:c>
      <x:c r="B93" s="51" t="str">
        <x:v>管道系统</x:v>
      </x:c>
      <x:c r="C93" s="51" t="str">
        <x:v>风管</x:v>
      </x:c>
      <x:c r="D93" s="51" t="str">
        <x:v>尺寸：1000mm</x:v>
      </x:c>
      <x:c r="E93" s="52" t="str">
        <x:v>米</x:v>
      </x:c>
      <x:c r="F93" s="53" t="n">
        <x:v>36</x:v>
      </x:c>
      <x:c r="G93" s="55" t="n">
        <x:v>720</x:v>
      </x:c>
      <x:c r="H93" s="55" t="n">
        <x:f>F93*G93</x:f>
        <x:v>25920</x:v>
      </x:c>
      <x:c r="I93" s="52" t="str">
        <x:v>国产（待定）</x:v>
      </x:c>
      <x:c r="J93" s="51" t="str">
        <x:v>敷设至1-3F管井旁并设阀封闭备用</x:v>
      </x:c>
    </x:row>
    <x:row r="94" ht="44" customHeight="1">
      <x:c r="A94" s="52" t="n">
        <x:v>66</x:v>
      </x:c>
      <x:c r="B94" s="51" t="str">
        <x:v>管道系统</x:v>
      </x:c>
      <x:c r="C94" s="51" t="str">
        <x:v>90°弯头</x:v>
      </x:c>
      <x:c r="D94" s="51" t="str">
        <x:v>尺寸：1000mm</x:v>
      </x:c>
      <x:c r="E94" s="52" t="str">
        <x:v>个</x:v>
      </x:c>
      <x:c r="F94" s="53" t="n">
        <x:v>6</x:v>
      </x:c>
      <x:c r="G94" s="55" t="n">
        <x:v>1050</x:v>
      </x:c>
      <x:c r="H94" s="55" t="n">
        <x:f>F94*G94</x:f>
        <x:v>6300</x:v>
      </x:c>
      <x:c r="I94" s="52" t="str">
        <x:v>国产（待定）</x:v>
      </x:c>
      <x:c r="J94" s="51" t="str"/>
    </x:row>
    <x:row r="95" ht="44" customHeight="1">
      <x:c r="A95" s="52" t="n">
        <x:v>67</x:v>
      </x:c>
      <x:c r="B95" s="51" t="str">
        <x:v>管道系统</x:v>
      </x:c>
      <x:c r="C95" s="51" t="str">
        <x:v>三通</x:v>
      </x:c>
      <x:c r="D95" s="51" t="str">
        <x:v>尺寸：1000mm*1000mm*1000mm 备注：1-3F,每层设1个</x:v>
      </x:c>
      <x:c r="E95" s="52" t="str">
        <x:v>个</x:v>
      </x:c>
      <x:c r="F95" s="53" t="n">
        <x:v>3</x:v>
      </x:c>
      <x:c r="G95" s="55" t="n">
        <x:v>2000</x:v>
      </x:c>
      <x:c r="H95" s="55" t="n">
        <x:f>F95*G95</x:f>
        <x:v>6000</x:v>
      </x:c>
      <x:c r="I95" s="52" t="str">
        <x:v>国产（待定）</x:v>
      </x:c>
      <x:c r="J95" s="51" t="str"/>
    </x:row>
    <x:row r="96" ht="44" customHeight="1">
      <x:c r="A96" s="52" t="n">
        <x:v>68</x:v>
      </x:c>
      <x:c r="B96" s="51" t="str">
        <x:v>管道系统</x:v>
      </x:c>
      <x:c r="C96" s="51" t="str">
        <x:v>防火阀</x:v>
      </x:c>
      <x:c r="D96" s="51" t="str">
        <x:v>尺寸：1000mm，材质pp阻燃 备注：1-3F,每层设1个</x:v>
      </x:c>
      <x:c r="E96" s="52" t="str">
        <x:v>个</x:v>
      </x:c>
      <x:c r="F96" s="53" t="n">
        <x:v>3</x:v>
      </x:c>
      <x:c r="G96" s="55" t="n">
        <x:v>6800</x:v>
      </x:c>
      <x:c r="H96" s="55" t="n">
        <x:f>F96*G96</x:f>
        <x:v>20400</x:v>
      </x:c>
      <x:c r="I96" s="52" t="str">
        <x:v>国产（待定）</x:v>
      </x:c>
      <x:c r="J96" s="51" t="str"/>
    </x:row>
    <x:row r="97" ht="44" customHeight="1">
      <x:c r="A97" s="52" t="n">
        <x:v>69</x:v>
      </x:c>
      <x:c r="B97" s="51" t="str">
        <x:v>管道系统</x:v>
      </x:c>
      <x:c r="C97" s="51" t="str">
        <x:v>风阀</x:v>
      </x:c>
      <x:c r="D97" s="51" t="str">
        <x:v>尺寸：1000mm，材质pp阻燃 备注：1-3F,每层设1个</x:v>
      </x:c>
      <x:c r="E97" s="52" t="str">
        <x:v>个</x:v>
      </x:c>
      <x:c r="F97" s="53" t="n">
        <x:v>3</x:v>
      </x:c>
      <x:c r="G97" s="55" t="n">
        <x:v>4800</x:v>
      </x:c>
      <x:c r="H97" s="55" t="n">
        <x:f>F97*G97</x:f>
        <x:v>14400</x:v>
      </x:c>
      <x:c r="I97" s="52" t="str">
        <x:v>国产（待定）</x:v>
      </x:c>
      <x:c r="J97" s="51" t="str"/>
    </x:row>
    <x:row r="98" ht="44" customHeight="1">
      <x:c r="A98" s="52" t="n">
        <x:v>70</x:v>
      </x:c>
      <x:c r="B98" s="51" t="str">
        <x:v>管道系统</x:v>
      </x:c>
      <x:c r="C98" s="51" t="str">
        <x:v>风管支架</x:v>
      </x:c>
      <x:c r="D98" s="51" t="str"/>
      <x:c r="E98" s="52" t="str">
        <x:v>项</x:v>
      </x:c>
      <x:c r="F98" s="53" t="n">
        <x:v>1</x:v>
      </x:c>
      <x:c r="G98" s="55" t="n">
        <x:v>15000</x:v>
      </x:c>
      <x:c r="H98" s="55" t="n">
        <x:f>F98*G98</x:f>
        <x:v>15000</x:v>
      </x:c>
      <x:c r="I98" s="52" t="str">
        <x:v>国产（待定）</x:v>
      </x:c>
      <x:c r="J98" s="51" t="str"/>
    </x:row>
    <x:row r="99" ht="24" customHeight="1">
      <x:c r="A99" s="64" t="str">
        <x:v>（六）1至3楼共用含氰废气抽风 管道系统（编号：（1F-3F）-含氰1）  小计</x:v>
      </x:c>
      <x:c r="B99" s="64" t="str">
        <x:v>（六）1至3楼共用含氰废气抽风 管道系统（编号：（1F-3F）-含氰1）  小计</x:v>
      </x:c>
      <x:c r="C99" s="64" t="str">
        <x:v>（六）1至3楼共用含氰废气抽风 管道系统（编号：（1F-3F）-含氰1）  小计</x:v>
      </x:c>
      <x:c r="D99" s="64" t="str">
        <x:v>（六）1至3楼共用含氰废气抽风 管道系统（编号：（1F-3F）-含氰1）  小计</x:v>
      </x:c>
      <x:c r="E99" s="64" t="str">
        <x:v>（六）1至3楼共用含氰废气抽风 管道系统（编号：（1F-3F）-含氰1）  小计</x:v>
      </x:c>
      <x:c r="F99" s="65"/>
      <x:c r="G99" s="65"/>
      <x:c r="H99" s="66" t="n">
        <x:f>SUM(H93:H98)</x:f>
        <x:v>88020</x:v>
      </x:c>
      <x:c r="I99" s="65"/>
      <x:c r="J99" s="65"/>
    </x:row>
    <x:row r="100" ht="24" customHeight="1">
      <x:c r="A100" s="46" t="str">
        <x:v>（七）1楼车间废气抽风 管道系统（编号：1F-酸碱1）</x:v>
      </x:c>
      <x:c r="B100" s="46" t="str">
        <x:v>（七）1楼车间废气抽风 管道系统（编号：1F-酸碱1）</x:v>
      </x:c>
      <x:c r="C100" s="46" t="str">
        <x:v>（七）1楼车间废气抽风 管道系统（编号：1F-酸碱1）</x:v>
      </x:c>
      <x:c r="D100" s="46" t="str">
        <x:v>（七）1楼车间废气抽风 管道系统（编号：1F-酸碱1）</x:v>
      </x:c>
      <x:c r="E100" s="46" t="str">
        <x:v>（七）1楼车间废气抽风 管道系统（编号：1F-酸碱1）</x:v>
      </x:c>
      <x:c r="F100" s="46" t="str">
        <x:v>（七）1楼车间废气抽风 管道系统（编号：1F-酸碱1）</x:v>
      </x:c>
      <x:c r="G100" s="46" t="str">
        <x:v>（七）1楼车间废气抽风 管道系统（编号：1F-酸碱1）</x:v>
      </x:c>
      <x:c r="H100" s="46" t="str">
        <x:v>（七）1楼车间废气抽风 管道系统（编号：1F-酸碱1）</x:v>
      </x:c>
      <x:c r="I100" s="46" t="str">
        <x:v>（七）1楼车间废气抽风 管道系统（编号：1F-酸碱1）</x:v>
      </x:c>
      <x:c r="J100" s="46" t="str">
        <x:v>（七）1楼车间废气抽风 管道系统（编号：1F-酸碱1）</x:v>
      </x:c>
    </x:row>
    <x:row r="101" ht="44" customHeight="1">
      <x:c r="A101" s="52" t="n">
        <x:v>71</x:v>
      </x:c>
      <x:c r="B101" s="51" t="str">
        <x:v>管道系统</x:v>
      </x:c>
      <x:c r="C101" s="51" t="str">
        <x:v>风管</x:v>
      </x:c>
      <x:c r="D101" s="51" t="str">
        <x:v>尺寸：1350mm</x:v>
      </x:c>
      <x:c r="E101" s="52" t="str">
        <x:v>米</x:v>
      </x:c>
      <x:c r="F101" s="53" t="n">
        <x:v>36</x:v>
      </x:c>
      <x:c r="G101" s="55" t="n">
        <x:v>750</x:v>
      </x:c>
      <x:c r="H101" s="55" t="n">
        <x:f>F101*G101</x:f>
        <x:v>27000</x:v>
      </x:c>
      <x:c r="I101" s="52" t="str">
        <x:v>国产（待定）</x:v>
      </x:c>
      <x:c r="J101" s="51" t="str">
        <x:v>敷设至管井旁，阀后封闭备用</x:v>
      </x:c>
    </x:row>
    <x:row r="102" ht="44" customHeight="1">
      <x:c r="A102" s="52" t="n">
        <x:v>72</x:v>
      </x:c>
      <x:c r="B102" s="51" t="str">
        <x:v>管道系统</x:v>
      </x:c>
      <x:c r="C102" s="51" t="str">
        <x:v>90°弯头</x:v>
      </x:c>
      <x:c r="D102" s="51" t="str">
        <x:v>尺寸：1350mm</x:v>
      </x:c>
      <x:c r="E102" s="52" t="str">
        <x:v>个</x:v>
      </x:c>
      <x:c r="F102" s="53" t="n">
        <x:v>6</x:v>
      </x:c>
      <x:c r="G102" s="55" t="n">
        <x:v>1100</x:v>
      </x:c>
      <x:c r="H102" s="55" t="n">
        <x:f>F102*G102</x:f>
        <x:v>6600</x:v>
      </x:c>
      <x:c r="I102" s="52" t="str">
        <x:v>国产（待定）</x:v>
      </x:c>
      <x:c r="J102" s="51" t="str"/>
    </x:row>
    <x:row r="103" ht="44" customHeight="1">
      <x:c r="A103" s="52" t="n">
        <x:v>73</x:v>
      </x:c>
      <x:c r="B103" s="51" t="str">
        <x:v>管道系统</x:v>
      </x:c>
      <x:c r="C103" s="51" t="str">
        <x:v>防火阀</x:v>
      </x:c>
      <x:c r="D103" s="51" t="str">
        <x:v>尺寸：1350mm，材质pp阻燃</x:v>
      </x:c>
      <x:c r="E103" s="52" t="str">
        <x:v>个</x:v>
      </x:c>
      <x:c r="F103" s="53" t="n">
        <x:v>1</x:v>
      </x:c>
      <x:c r="G103" s="55" t="n">
        <x:v>6600</x:v>
      </x:c>
      <x:c r="H103" s="55" t="n">
        <x:f>F103*G103</x:f>
        <x:v>6600</x:v>
      </x:c>
      <x:c r="I103" s="52" t="str">
        <x:v>国产（待定）</x:v>
      </x:c>
      <x:c r="J103" s="51" t="str"/>
    </x:row>
    <x:row r="104" ht="44" customHeight="1">
      <x:c r="A104" s="52" t="n">
        <x:v>74</x:v>
      </x:c>
      <x:c r="B104" s="51" t="str">
        <x:v>管道系统</x:v>
      </x:c>
      <x:c r="C104" s="51" t="str">
        <x:v>风阀</x:v>
      </x:c>
      <x:c r="D104" s="51" t="str">
        <x:v>尺寸：1350mm，材质pp阻燃</x:v>
      </x:c>
      <x:c r="E104" s="52" t="str">
        <x:v>个</x:v>
      </x:c>
      <x:c r="F104" s="53" t="n">
        <x:v>1</x:v>
      </x:c>
      <x:c r="G104" s="55" t="n">
        <x:v>5000</x:v>
      </x:c>
      <x:c r="H104" s="55" t="n">
        <x:f>F104*G104</x:f>
        <x:v>5000</x:v>
      </x:c>
      <x:c r="I104" s="52" t="str">
        <x:v>国产（待定）</x:v>
      </x:c>
      <x:c r="J104" s="51" t="str"/>
    </x:row>
    <x:row r="105" ht="44" customHeight="1">
      <x:c r="A105" s="52" t="n">
        <x:v>75</x:v>
      </x:c>
      <x:c r="B105" s="51" t="str">
        <x:v>管道系统</x:v>
      </x:c>
      <x:c r="C105" s="51" t="str">
        <x:v>风管支架</x:v>
      </x:c>
      <x:c r="D105" s="51" t="str"/>
      <x:c r="E105" s="52" t="str">
        <x:v>项</x:v>
      </x:c>
      <x:c r="F105" s="53" t="n">
        <x:v>1</x:v>
      </x:c>
      <x:c r="G105" s="55" t="n">
        <x:v>16000</x:v>
      </x:c>
      <x:c r="H105" s="55" t="n">
        <x:f>F105*G105</x:f>
        <x:v>16000</x:v>
      </x:c>
      <x:c r="I105" s="52" t="str">
        <x:v>国产（待定）</x:v>
      </x:c>
      <x:c r="J105" s="51" t="str"/>
    </x:row>
    <x:row r="106" ht="24" customHeight="1">
      <x:c r="A106" s="64" t="str">
        <x:v>（七）1楼车间废气抽风 管道系统（编号：1F-酸碱1）  小计</x:v>
      </x:c>
      <x:c r="B106" s="64" t="str">
        <x:v>（七）1楼车间废气抽风 管道系统（编号：1F-酸碱1）  小计</x:v>
      </x:c>
      <x:c r="C106" s="64" t="str">
        <x:v>（七）1楼车间废气抽风 管道系统（编号：1F-酸碱1）  小计</x:v>
      </x:c>
      <x:c r="D106" s="64" t="str">
        <x:v>（七）1楼车间废气抽风 管道系统（编号：1F-酸碱1）  小计</x:v>
      </x:c>
      <x:c r="E106" s="64" t="str">
        <x:v>（七）1楼车间废气抽风 管道系统（编号：1F-酸碱1）  小计</x:v>
      </x:c>
      <x:c r="F106" s="65"/>
      <x:c r="G106" s="65"/>
      <x:c r="H106" s="66" t="n">
        <x:f>SUM(H101:H105)</x:f>
        <x:v>61200</x:v>
      </x:c>
      <x:c r="I106" s="65"/>
      <x:c r="J106" s="65"/>
    </x:row>
    <x:row r="107" ht="24" customHeight="1">
      <x:c r="A107" s="46" t="str">
        <x:v>（八）2楼车间废气抽风 管道系统（编号：2F-酸碱2）</x:v>
      </x:c>
      <x:c r="B107" s="46" t="str">
        <x:v>（八）2楼车间废气抽风 管道系统（编号：2F-酸碱2）</x:v>
      </x:c>
      <x:c r="C107" s="46" t="str">
        <x:v>（八）2楼车间废气抽风 管道系统（编号：2F-酸碱2）</x:v>
      </x:c>
      <x:c r="D107" s="46" t="str">
        <x:v>（八）2楼车间废气抽风 管道系统（编号：2F-酸碱2）</x:v>
      </x:c>
      <x:c r="E107" s="46" t="str">
        <x:v>（八）2楼车间废气抽风 管道系统（编号：2F-酸碱2）</x:v>
      </x:c>
      <x:c r="F107" s="46" t="str">
        <x:v>（八）2楼车间废气抽风 管道系统（编号：2F-酸碱2）</x:v>
      </x:c>
      <x:c r="G107" s="46" t="str">
        <x:v>（八）2楼车间废气抽风 管道系统（编号：2F-酸碱2）</x:v>
      </x:c>
      <x:c r="H107" s="46" t="str">
        <x:v>（八）2楼车间废气抽风 管道系统（编号：2F-酸碱2）</x:v>
      </x:c>
      <x:c r="I107" s="46" t="str">
        <x:v>（八）2楼车间废气抽风 管道系统（编号：2F-酸碱2）</x:v>
      </x:c>
      <x:c r="J107" s="46" t="str">
        <x:v>（八）2楼车间废气抽风 管道系统（编号：2F-酸碱2）</x:v>
      </x:c>
    </x:row>
    <x:row r="108" ht="44" customHeight="1">
      <x:c r="A108" s="52" t="n">
        <x:v>76</x:v>
      </x:c>
      <x:c r="B108" s="51" t="str">
        <x:v>管道系统</x:v>
      </x:c>
      <x:c r="C108" s="51" t="str">
        <x:v>风管</x:v>
      </x:c>
      <x:c r="D108" s="51" t="str">
        <x:v>尺寸：1350mm</x:v>
      </x:c>
      <x:c r="E108" s="52" t="str">
        <x:v>米</x:v>
      </x:c>
      <x:c r="F108" s="53" t="n">
        <x:v>30</x:v>
      </x:c>
      <x:c r="G108" s="55" t="n">
        <x:v>750</x:v>
      </x:c>
      <x:c r="H108" s="55" t="n">
        <x:f>F108*G108</x:f>
        <x:v>22500</x:v>
      </x:c>
      <x:c r="I108" s="52" t="str">
        <x:v>国产（待定）</x:v>
      </x:c>
      <x:c r="J108" s="51" t="str">
        <x:v>敷设至管井旁，阀后封闭备用</x:v>
      </x:c>
    </x:row>
    <x:row r="109" ht="44" customHeight="1">
      <x:c r="A109" s="52" t="n">
        <x:v>77</x:v>
      </x:c>
      <x:c r="B109" s="51" t="str">
        <x:v>管道系统</x:v>
      </x:c>
      <x:c r="C109" s="51" t="str">
        <x:v>90°弯头</x:v>
      </x:c>
      <x:c r="D109" s="51" t="str">
        <x:v>尺寸：1350mm</x:v>
      </x:c>
      <x:c r="E109" s="52" t="str">
        <x:v>个</x:v>
      </x:c>
      <x:c r="F109" s="53" t="n">
        <x:v>6</x:v>
      </x:c>
      <x:c r="G109" s="55" t="n">
        <x:v>1100</x:v>
      </x:c>
      <x:c r="H109" s="55" t="n">
        <x:f>F109*G109</x:f>
        <x:v>6600</x:v>
      </x:c>
      <x:c r="I109" s="52" t="str">
        <x:v>国产（待定）</x:v>
      </x:c>
      <x:c r="J109" s="51" t="str"/>
    </x:row>
    <x:row r="110" ht="44" customHeight="1">
      <x:c r="A110" s="52" t="n">
        <x:v>78</x:v>
      </x:c>
      <x:c r="B110" s="51" t="str">
        <x:v>管道系统</x:v>
      </x:c>
      <x:c r="C110" s="51" t="str">
        <x:v>防火阀</x:v>
      </x:c>
      <x:c r="D110" s="51" t="str">
        <x:v>尺寸：1350mm，材质pp阻燃</x:v>
      </x:c>
      <x:c r="E110" s="52" t="str">
        <x:v>个</x:v>
      </x:c>
      <x:c r="F110" s="53" t="n">
        <x:v>1</x:v>
      </x:c>
      <x:c r="G110" s="55" t="n">
        <x:v>6600</x:v>
      </x:c>
      <x:c r="H110" s="55" t="n">
        <x:f>F110*G110</x:f>
        <x:v>6600</x:v>
      </x:c>
      <x:c r="I110" s="52" t="str">
        <x:v>国产（待定）</x:v>
      </x:c>
      <x:c r="J110" s="51" t="str"/>
    </x:row>
    <x:row r="111" ht="44" customHeight="1">
      <x:c r="A111" s="52" t="n">
        <x:v>79</x:v>
      </x:c>
      <x:c r="B111" s="51" t="str">
        <x:v>管道系统</x:v>
      </x:c>
      <x:c r="C111" s="51" t="str">
        <x:v>风阀</x:v>
      </x:c>
      <x:c r="D111" s="51" t="str">
        <x:v>尺寸：1350mm，材质pp阻燃</x:v>
      </x:c>
      <x:c r="E111" s="52" t="str">
        <x:v>个</x:v>
      </x:c>
      <x:c r="F111" s="53" t="n">
        <x:v>1</x:v>
      </x:c>
      <x:c r="G111" s="55" t="n">
        <x:v>5000</x:v>
      </x:c>
      <x:c r="H111" s="55" t="n">
        <x:f>F111*G111</x:f>
        <x:v>5000</x:v>
      </x:c>
      <x:c r="I111" s="52" t="str">
        <x:v>国产（待定）</x:v>
      </x:c>
      <x:c r="J111" s="51" t="str"/>
    </x:row>
    <x:row r="112" ht="44" customHeight="1">
      <x:c r="A112" s="52" t="n">
        <x:v>80</x:v>
      </x:c>
      <x:c r="B112" s="51" t="str">
        <x:v>管道系统</x:v>
      </x:c>
      <x:c r="C112" s="51" t="str">
        <x:v>风管支架</x:v>
      </x:c>
      <x:c r="D112" s="51" t="str"/>
      <x:c r="E112" s="52" t="str">
        <x:v>项</x:v>
      </x:c>
      <x:c r="F112" s="53" t="n">
        <x:v>1</x:v>
      </x:c>
      <x:c r="G112" s="55" t="n">
        <x:v>16000</x:v>
      </x:c>
      <x:c r="H112" s="55" t="n">
        <x:f>F112*G112</x:f>
        <x:v>16000</x:v>
      </x:c>
      <x:c r="I112" s="52" t="str">
        <x:v>国产（待定）</x:v>
      </x:c>
      <x:c r="J112" s="51" t="str"/>
    </x:row>
    <x:row r="113" ht="24" customHeight="1">
      <x:c r="A113" s="64" t="str">
        <x:v>（八）2楼车间废气抽风 管道系统（编号：2F-酸碱2）  小计</x:v>
      </x:c>
      <x:c r="B113" s="64" t="str">
        <x:v>（八）2楼车间废气抽风 管道系统（编号：2F-酸碱2）  小计</x:v>
      </x:c>
      <x:c r="C113" s="64" t="str">
        <x:v>（八）2楼车间废气抽风 管道系统（编号：2F-酸碱2）  小计</x:v>
      </x:c>
      <x:c r="D113" s="64" t="str">
        <x:v>（八）2楼车间废气抽风 管道系统（编号：2F-酸碱2）  小计</x:v>
      </x:c>
      <x:c r="E113" s="64" t="str">
        <x:v>（八）2楼车间废气抽风 管道系统（编号：2F-酸碱2）  小计</x:v>
      </x:c>
      <x:c r="F113" s="65"/>
      <x:c r="G113" s="65"/>
      <x:c r="H113" s="66" t="n">
        <x:f>SUM(H108:H112)</x:f>
        <x:v>56700</x:v>
      </x:c>
      <x:c r="I113" s="65"/>
      <x:c r="J113" s="65"/>
    </x:row>
    <x:row r="114" ht="24" customHeight="1">
      <x:c r="A114" s="46" t="str">
        <x:v>（九）2楼车间废气抽风 管道系统（编号：2F-酸碱3）</x:v>
      </x:c>
      <x:c r="B114" s="46" t="str">
        <x:v>（九）2楼车间废气抽风 管道系统（编号：2F-酸碱3）</x:v>
      </x:c>
      <x:c r="C114" s="46" t="str">
        <x:v>（九）2楼车间废气抽风 管道系统（编号：2F-酸碱3）</x:v>
      </x:c>
      <x:c r="D114" s="46" t="str">
        <x:v>（九）2楼车间废气抽风 管道系统（编号：2F-酸碱3）</x:v>
      </x:c>
      <x:c r="E114" s="46" t="str">
        <x:v>（九）2楼车间废气抽风 管道系统（编号：2F-酸碱3）</x:v>
      </x:c>
      <x:c r="F114" s="46" t="str">
        <x:v>（九）2楼车间废气抽风 管道系统（编号：2F-酸碱3）</x:v>
      </x:c>
      <x:c r="G114" s="46" t="str">
        <x:v>（九）2楼车间废气抽风 管道系统（编号：2F-酸碱3）</x:v>
      </x:c>
      <x:c r="H114" s="46" t="str">
        <x:v>（九）2楼车间废气抽风 管道系统（编号：2F-酸碱3）</x:v>
      </x:c>
      <x:c r="I114" s="46" t="str">
        <x:v>（九）2楼车间废气抽风 管道系统（编号：2F-酸碱3）</x:v>
      </x:c>
      <x:c r="J114" s="46" t="str">
        <x:v>（九）2楼车间废气抽风 管道系统（编号：2F-酸碱3）</x:v>
      </x:c>
    </x:row>
    <x:row r="115" ht="44" customHeight="1">
      <x:c r="A115" s="52" t="n">
        <x:v>81</x:v>
      </x:c>
      <x:c r="B115" s="51" t="str">
        <x:v>管道系统</x:v>
      </x:c>
      <x:c r="C115" s="51" t="str">
        <x:v>风管</x:v>
      </x:c>
      <x:c r="D115" s="51" t="str">
        <x:v>尺寸：1350mm</x:v>
      </x:c>
      <x:c r="E115" s="52" t="str">
        <x:v>米</x:v>
      </x:c>
      <x:c r="F115" s="53" t="n">
        <x:v>30</x:v>
      </x:c>
      <x:c r="G115" s="55" t="n">
        <x:v>750</x:v>
      </x:c>
      <x:c r="H115" s="55" t="n">
        <x:f>F115*G115</x:f>
        <x:v>22500</x:v>
      </x:c>
      <x:c r="I115" s="52" t="str">
        <x:v>国产（待定）</x:v>
      </x:c>
      <x:c r="J115" s="51" t="str">
        <x:v>敷设至管井旁，阀后封闭备用</x:v>
      </x:c>
    </x:row>
    <x:row r="116" ht="44" customHeight="1">
      <x:c r="A116" s="52" t="n">
        <x:v>82</x:v>
      </x:c>
      <x:c r="B116" s="51" t="str">
        <x:v>管道系统</x:v>
      </x:c>
      <x:c r="C116" s="51" t="str">
        <x:v>90°弯头</x:v>
      </x:c>
      <x:c r="D116" s="51" t="str">
        <x:v>尺寸：1350mm</x:v>
      </x:c>
      <x:c r="E116" s="52" t="str">
        <x:v>个</x:v>
      </x:c>
      <x:c r="F116" s="53" t="n">
        <x:v>6</x:v>
      </x:c>
      <x:c r="G116" s="55" t="n">
        <x:v>1100</x:v>
      </x:c>
      <x:c r="H116" s="55" t="n">
        <x:f>F116*G116</x:f>
        <x:v>6600</x:v>
      </x:c>
      <x:c r="I116" s="52" t="str">
        <x:v>国产（待定）</x:v>
      </x:c>
      <x:c r="J116" s="51" t="str"/>
    </x:row>
    <x:row r="117" ht="44" customHeight="1">
      <x:c r="A117" s="52" t="n">
        <x:v>83</x:v>
      </x:c>
      <x:c r="B117" s="51" t="str">
        <x:v>管道系统</x:v>
      </x:c>
      <x:c r="C117" s="51" t="str">
        <x:v>防火阀</x:v>
      </x:c>
      <x:c r="D117" s="51" t="str">
        <x:v>尺寸：1350mm，材质pp阻燃</x:v>
      </x:c>
      <x:c r="E117" s="52" t="str">
        <x:v>个</x:v>
      </x:c>
      <x:c r="F117" s="53" t="n">
        <x:v>1</x:v>
      </x:c>
      <x:c r="G117" s="55" t="n">
        <x:v>6600</x:v>
      </x:c>
      <x:c r="H117" s="55" t="n">
        <x:f>F117*G117</x:f>
        <x:v>6600</x:v>
      </x:c>
      <x:c r="I117" s="52" t="str">
        <x:v>国产（待定）</x:v>
      </x:c>
      <x:c r="J117" s="51" t="str"/>
    </x:row>
    <x:row r="118" ht="44" customHeight="1">
      <x:c r="A118" s="52" t="n">
        <x:v>84</x:v>
      </x:c>
      <x:c r="B118" s="51" t="str">
        <x:v>管道系统</x:v>
      </x:c>
      <x:c r="C118" s="51" t="str">
        <x:v>风阀</x:v>
      </x:c>
      <x:c r="D118" s="51" t="str">
        <x:v>尺寸：1350mm，材质pp阻燃</x:v>
      </x:c>
      <x:c r="E118" s="52" t="str">
        <x:v>个</x:v>
      </x:c>
      <x:c r="F118" s="53" t="n">
        <x:v>1</x:v>
      </x:c>
      <x:c r="G118" s="55" t="n">
        <x:v>5000</x:v>
      </x:c>
      <x:c r="H118" s="55" t="n">
        <x:f>F118*G118</x:f>
        <x:v>5000</x:v>
      </x:c>
      <x:c r="I118" s="52" t="str">
        <x:v>国产（待定）</x:v>
      </x:c>
      <x:c r="J118" s="51" t="str"/>
    </x:row>
    <x:row r="119" ht="44" customHeight="1">
      <x:c r="A119" s="52" t="n">
        <x:v>85</x:v>
      </x:c>
      <x:c r="B119" s="51" t="str">
        <x:v>管道系统</x:v>
      </x:c>
      <x:c r="C119" s="51" t="str">
        <x:v>风管支架</x:v>
      </x:c>
      <x:c r="D119" s="51" t="str"/>
      <x:c r="E119" s="52" t="str">
        <x:v>项</x:v>
      </x:c>
      <x:c r="F119" s="53" t="n">
        <x:v>1</x:v>
      </x:c>
      <x:c r="G119" s="55" t="n">
        <x:v>16000</x:v>
      </x:c>
      <x:c r="H119" s="55" t="n">
        <x:f>F119*G119</x:f>
        <x:v>16000</x:v>
      </x:c>
      <x:c r="I119" s="52" t="str">
        <x:v>国产（待定）</x:v>
      </x:c>
      <x:c r="J119" s="51" t="str"/>
    </x:row>
    <x:row r="120" ht="24" customHeight="1">
      <x:c r="A120" s="64" t="str">
        <x:v>（九）2楼车间废气抽风 管道系统（编号：2F-酸碱3）  小计</x:v>
      </x:c>
      <x:c r="B120" s="64" t="str">
        <x:v>（九）2楼车间废气抽风 管道系统（编号：2F-酸碱3）  小计</x:v>
      </x:c>
      <x:c r="C120" s="64" t="str">
        <x:v>（九）2楼车间废气抽风 管道系统（编号：2F-酸碱3）  小计</x:v>
      </x:c>
      <x:c r="D120" s="64" t="str">
        <x:v>（九）2楼车间废气抽风 管道系统（编号：2F-酸碱3）  小计</x:v>
      </x:c>
      <x:c r="E120" s="64" t="str">
        <x:v>（九）2楼车间废气抽风 管道系统（编号：2F-酸碱3）  小计</x:v>
      </x:c>
      <x:c r="F120" s="65"/>
      <x:c r="G120" s="65"/>
      <x:c r="H120" s="66" t="n">
        <x:f>SUM(H115:H119)</x:f>
        <x:v>56700</x:v>
      </x:c>
      <x:c r="I120" s="65"/>
      <x:c r="J120" s="65"/>
    </x:row>
    <x:row r="121" ht="24" customHeight="1">
      <x:c r="A121" s="46" t="str">
        <x:v>（十）3楼车间废气抽风 管道系统（编号：3F-酸碱4）</x:v>
      </x:c>
      <x:c r="B121" s="46" t="str">
        <x:v>（十）3楼车间废气抽风 管道系统（编号：3F-酸碱4）</x:v>
      </x:c>
      <x:c r="C121" s="46" t="str">
        <x:v>（十）3楼车间废气抽风 管道系统（编号：3F-酸碱4）</x:v>
      </x:c>
      <x:c r="D121" s="46" t="str">
        <x:v>（十）3楼车间废气抽风 管道系统（编号：3F-酸碱4）</x:v>
      </x:c>
      <x:c r="E121" s="46" t="str">
        <x:v>（十）3楼车间废气抽风 管道系统（编号：3F-酸碱4）</x:v>
      </x:c>
      <x:c r="F121" s="46" t="str">
        <x:v>（十）3楼车间废气抽风 管道系统（编号：3F-酸碱4）</x:v>
      </x:c>
      <x:c r="G121" s="46" t="str">
        <x:v>（十）3楼车间废气抽风 管道系统（编号：3F-酸碱4）</x:v>
      </x:c>
      <x:c r="H121" s="46" t="str">
        <x:v>（十）3楼车间废气抽风 管道系统（编号：3F-酸碱4）</x:v>
      </x:c>
      <x:c r="I121" s="46" t="str">
        <x:v>（十）3楼车间废气抽风 管道系统（编号：3F-酸碱4）</x:v>
      </x:c>
      <x:c r="J121" s="46" t="str">
        <x:v>（十）3楼车间废气抽风 管道系统（编号：3F-酸碱4）</x:v>
      </x:c>
    </x:row>
    <x:row r="122" ht="44" customHeight="1">
      <x:c r="A122" s="52" t="n">
        <x:v>86</x:v>
      </x:c>
      <x:c r="B122" s="51" t="str">
        <x:v>管道系统</x:v>
      </x:c>
      <x:c r="C122" s="51" t="str">
        <x:v>风管</x:v>
      </x:c>
      <x:c r="D122" s="51" t="str">
        <x:v>尺寸：1350mm</x:v>
      </x:c>
      <x:c r="E122" s="52" t="str">
        <x:v>米</x:v>
      </x:c>
      <x:c r="F122" s="53" t="n">
        <x:v>96</x:v>
      </x:c>
      <x:c r="G122" s="55" t="n">
        <x:v>780</x:v>
      </x:c>
      <x:c r="H122" s="55" t="n">
        <x:f>F122*G122</x:f>
        <x:v>74880</x:v>
      </x:c>
      <x:c r="I122" s="52" t="str">
        <x:v>国产（待定）</x:v>
      </x:c>
      <x:c r="J122" s="51" t="str">
        <x:v>敷设至三楼生产线端面</x:v>
      </x:c>
    </x:row>
    <x:row r="123" ht="44" customHeight="1">
      <x:c r="A123" s="52" t="n">
        <x:v>87</x:v>
      </x:c>
      <x:c r="B123" s="51" t="str">
        <x:v>管道系统</x:v>
      </x:c>
      <x:c r="C123" s="51" t="str">
        <x:v>90°弯头</x:v>
      </x:c>
      <x:c r="D123" s="51" t="str">
        <x:v>尺寸：1350mm</x:v>
      </x:c>
      <x:c r="E123" s="52" t="str">
        <x:v>个</x:v>
      </x:c>
      <x:c r="F123" s="53" t="n">
        <x:v>6</x:v>
      </x:c>
      <x:c r="G123" s="55" t="n">
        <x:v>1200</x:v>
      </x:c>
      <x:c r="H123" s="55" t="n">
        <x:f>F123*G123</x:f>
        <x:v>7200</x:v>
      </x:c>
      <x:c r="I123" s="52" t="str">
        <x:v>国产（待定）</x:v>
      </x:c>
      <x:c r="J123" s="51" t="str"/>
    </x:row>
    <x:row r="124" ht="44" customHeight="1">
      <x:c r="A124" s="52" t="n">
        <x:v>88</x:v>
      </x:c>
      <x:c r="B124" s="51" t="str">
        <x:v>管道系统</x:v>
      </x:c>
      <x:c r="C124" s="51" t="str">
        <x:v>防火阀</x:v>
      </x:c>
      <x:c r="D124" s="51" t="str">
        <x:v>尺寸：1350mm，材质pp阻燃</x:v>
      </x:c>
      <x:c r="E124" s="52" t="str">
        <x:v>个</x:v>
      </x:c>
      <x:c r="F124" s="53" t="n">
        <x:v>1</x:v>
      </x:c>
      <x:c r="G124" s="55" t="n">
        <x:v>7000</x:v>
      </x:c>
      <x:c r="H124" s="55" t="n">
        <x:f>F124*G124</x:f>
        <x:v>7000</x:v>
      </x:c>
      <x:c r="I124" s="52" t="str">
        <x:v>国产（待定）</x:v>
      </x:c>
      <x:c r="J124" s="51" t="str"/>
    </x:row>
    <x:row r="125" ht="44" customHeight="1">
      <x:c r="A125" s="52" t="n">
        <x:v>89</x:v>
      </x:c>
      <x:c r="B125" s="51" t="str">
        <x:v>管道系统</x:v>
      </x:c>
      <x:c r="C125" s="51" t="str">
        <x:v>风阀</x:v>
      </x:c>
      <x:c r="D125" s="51" t="str">
        <x:v>尺寸：1350mm，材质pp阻燃</x:v>
      </x:c>
      <x:c r="E125" s="52" t="str">
        <x:v>个</x:v>
      </x:c>
      <x:c r="F125" s="53" t="n">
        <x:v>1</x:v>
      </x:c>
      <x:c r="G125" s="55" t="n">
        <x:v>5200</x:v>
      </x:c>
      <x:c r="H125" s="55" t="n">
        <x:f>F125*G125</x:f>
        <x:v>5200</x:v>
      </x:c>
      <x:c r="I125" s="52" t="str">
        <x:v>国产（待定）</x:v>
      </x:c>
      <x:c r="J125" s="51" t="str"/>
    </x:row>
    <x:row r="126" ht="44" customHeight="1">
      <x:c r="A126" s="52" t="n">
        <x:v>90</x:v>
      </x:c>
      <x:c r="B126" s="51" t="str">
        <x:v>管道系统</x:v>
      </x:c>
      <x:c r="C126" s="51" t="str">
        <x:v>风管支架</x:v>
      </x:c>
      <x:c r="D126" s="51" t="str"/>
      <x:c r="E126" s="52" t="str">
        <x:v>项</x:v>
      </x:c>
      <x:c r="F126" s="53" t="n">
        <x:v>1</x:v>
      </x:c>
      <x:c r="G126" s="55" t="n">
        <x:v>17500</x:v>
      </x:c>
      <x:c r="H126" s="55" t="n">
        <x:f>F126*G126</x:f>
        <x:v>17500</x:v>
      </x:c>
      <x:c r="I126" s="52" t="str">
        <x:v>国产（待定）</x:v>
      </x:c>
      <x:c r="J126" s="51" t="str"/>
    </x:row>
    <x:row r="127" ht="44" customHeight="1">
      <x:c r="A127" s="52" t="n">
        <x:v>91</x:v>
      </x:c>
      <x:c r="B127" s="51" t="str">
        <x:v>车间干管支撑架</x:v>
      </x:c>
      <x:c r="C127" s="51" t="str">
        <x:v>干管支撑架</x:v>
      </x:c>
      <x:c r="D127" s="51" t="str"/>
      <x:c r="E127" s="52" t="str">
        <x:v>项</x:v>
      </x:c>
      <x:c r="F127" s="53" t="n">
        <x:v>1</x:v>
      </x:c>
      <x:c r="G127" s="55" t="n">
        <x:v>35000</x:v>
      </x:c>
      <x:c r="H127" s="55" t="n">
        <x:f>F127*G127</x:f>
        <x:v>35000</x:v>
      </x:c>
      <x:c r="I127" s="52" t="str">
        <x:v>国产（待定）</x:v>
      </x:c>
      <x:c r="J127" s="51" t="str"/>
    </x:row>
    <x:row r="128" ht="24" customHeight="1">
      <x:c r="A128" s="64" t="str">
        <x:v>（十）3楼车间废气抽风 管道系统（编号：3F-酸碱4）  小计</x:v>
      </x:c>
      <x:c r="B128" s="64" t="str">
        <x:v>（十）3楼车间废气抽风 管道系统（编号：3F-酸碱4）  小计</x:v>
      </x:c>
      <x:c r="C128" s="64" t="str">
        <x:v>（十）3楼车间废气抽风 管道系统（编号：3F-酸碱4）  小计</x:v>
      </x:c>
      <x:c r="D128" s="64" t="str">
        <x:v>（十）3楼车间废气抽风 管道系统（编号：3F-酸碱4）  小计</x:v>
      </x:c>
      <x:c r="E128" s="64" t="str">
        <x:v>（十）3楼车间废气抽风 管道系统（编号：3F-酸碱4）  小计</x:v>
      </x:c>
      <x:c r="F128" s="65"/>
      <x:c r="G128" s="65"/>
      <x:c r="H128" s="66" t="n">
        <x:f>SUM(H122:H127)</x:f>
        <x:v>146780</x:v>
      </x:c>
      <x:c r="I128" s="65"/>
      <x:c r="J128" s="65"/>
    </x:row>
    <x:row r="129" ht="24" customHeight="1">
      <x:c r="A129" s="46" t="str">
        <x:v>（十一）3楼车间废气抽风 管道系统（编号：3F-酸碱5）</x:v>
      </x:c>
      <x:c r="B129" s="46" t="str">
        <x:v>（十一）3楼车间废气抽风 管道系统（编号：3F-酸碱5）</x:v>
      </x:c>
      <x:c r="C129" s="46" t="str">
        <x:v>（十一）3楼车间废气抽风 管道系统（编号：3F-酸碱5）</x:v>
      </x:c>
      <x:c r="D129" s="46" t="str">
        <x:v>（十一）3楼车间废气抽风 管道系统（编号：3F-酸碱5）</x:v>
      </x:c>
      <x:c r="E129" s="46" t="str">
        <x:v>（十一）3楼车间废气抽风 管道系统（编号：3F-酸碱5）</x:v>
      </x:c>
      <x:c r="F129" s="46" t="str">
        <x:v>（十一）3楼车间废气抽风 管道系统（编号：3F-酸碱5）</x:v>
      </x:c>
      <x:c r="G129" s="46" t="str">
        <x:v>（十一）3楼车间废气抽风 管道系统（编号：3F-酸碱5）</x:v>
      </x:c>
      <x:c r="H129" s="46" t="str">
        <x:v>（十一）3楼车间废气抽风 管道系统（编号：3F-酸碱5）</x:v>
      </x:c>
      <x:c r="I129" s="46" t="str">
        <x:v>（十一）3楼车间废气抽风 管道系统（编号：3F-酸碱5）</x:v>
      </x:c>
      <x:c r="J129" s="46" t="str">
        <x:v>（十一）3楼车间废气抽风 管道系统（编号：3F-酸碱5）</x:v>
      </x:c>
    </x:row>
    <x:row r="130" ht="44" customHeight="1">
      <x:c r="A130" s="52" t="n">
        <x:v>92</x:v>
      </x:c>
      <x:c r="B130" s="51" t="str">
        <x:v>管道系统</x:v>
      </x:c>
      <x:c r="C130" s="51" t="str">
        <x:v>风管</x:v>
      </x:c>
      <x:c r="D130" s="51" t="str">
        <x:v>尺寸：1350mm</x:v>
      </x:c>
      <x:c r="E130" s="52" t="str">
        <x:v>米</x:v>
      </x:c>
      <x:c r="F130" s="53" t="n">
        <x:v>108</x:v>
      </x:c>
      <x:c r="G130" s="55" t="n">
        <x:v>780</x:v>
      </x:c>
      <x:c r="H130" s="55" t="n">
        <x:f>F130*G130</x:f>
        <x:v>84240</x:v>
      </x:c>
      <x:c r="I130" s="52" t="str">
        <x:v>国产（待定）</x:v>
      </x:c>
      <x:c r="J130" s="51" t="str">
        <x:v>敷设至三楼生产线端面</x:v>
      </x:c>
    </x:row>
    <x:row r="131" ht="44" customHeight="1">
      <x:c r="A131" s="52" t="n">
        <x:v>93</x:v>
      </x:c>
      <x:c r="B131" s="51" t="str">
        <x:v>管道系统</x:v>
      </x:c>
      <x:c r="C131" s="51" t="str">
        <x:v>90°弯头</x:v>
      </x:c>
      <x:c r="D131" s="51" t="str">
        <x:v>尺寸：1350mm</x:v>
      </x:c>
      <x:c r="E131" s="52" t="str">
        <x:v>个</x:v>
      </x:c>
      <x:c r="F131" s="53" t="n">
        <x:v>8</x:v>
      </x:c>
      <x:c r="G131" s="55" t="n">
        <x:v>1200</x:v>
      </x:c>
      <x:c r="H131" s="55" t="n">
        <x:f>F131*G131</x:f>
        <x:v>9600</x:v>
      </x:c>
      <x:c r="I131" s="52" t="str">
        <x:v>国产（待定）</x:v>
      </x:c>
      <x:c r="J131" s="51" t="str"/>
    </x:row>
    <x:row r="132" ht="44" customHeight="1">
      <x:c r="A132" s="52" t="n">
        <x:v>94</x:v>
      </x:c>
      <x:c r="B132" s="51" t="str">
        <x:v>管道系统</x:v>
      </x:c>
      <x:c r="C132" s="51" t="str">
        <x:v>防火阀</x:v>
      </x:c>
      <x:c r="D132" s="51" t="str">
        <x:v>尺寸：1350mm，材质pp阻燃</x:v>
      </x:c>
      <x:c r="E132" s="52" t="str">
        <x:v>个</x:v>
      </x:c>
      <x:c r="F132" s="53" t="n">
        <x:v>1</x:v>
      </x:c>
      <x:c r="G132" s="55" t="n">
        <x:v>7000</x:v>
      </x:c>
      <x:c r="H132" s="55" t="n">
        <x:f>F132*G132</x:f>
        <x:v>7000</x:v>
      </x:c>
      <x:c r="I132" s="52" t="str">
        <x:v>国产（待定）</x:v>
      </x:c>
      <x:c r="J132" s="51" t="str"/>
    </x:row>
    <x:row r="133" ht="44" customHeight="1">
      <x:c r="A133" s="52" t="n">
        <x:v>95</x:v>
      </x:c>
      <x:c r="B133" s="51" t="str">
        <x:v>管道系统</x:v>
      </x:c>
      <x:c r="C133" s="51" t="str">
        <x:v>风阀</x:v>
      </x:c>
      <x:c r="D133" s="51" t="str">
        <x:v>尺寸：1350mm，材质pp阻燃</x:v>
      </x:c>
      <x:c r="E133" s="52" t="str">
        <x:v>个</x:v>
      </x:c>
      <x:c r="F133" s="53" t="n">
        <x:v>1</x:v>
      </x:c>
      <x:c r="G133" s="55" t="n">
        <x:v>5200</x:v>
      </x:c>
      <x:c r="H133" s="55" t="n">
        <x:f>F133*G133</x:f>
        <x:v>5200</x:v>
      </x:c>
      <x:c r="I133" s="52" t="str">
        <x:v>国产（待定）</x:v>
      </x:c>
      <x:c r="J133" s="51" t="str"/>
    </x:row>
    <x:row r="134" ht="44" customHeight="1">
      <x:c r="A134" s="52" t="n">
        <x:v>96</x:v>
      </x:c>
      <x:c r="B134" s="51" t="str">
        <x:v>管道系统</x:v>
      </x:c>
      <x:c r="C134" s="51" t="str">
        <x:v>风管支架</x:v>
      </x:c>
      <x:c r="D134" s="51" t="str"/>
      <x:c r="E134" s="52" t="str">
        <x:v>项</x:v>
      </x:c>
      <x:c r="F134" s="53" t="n">
        <x:v>1</x:v>
      </x:c>
      <x:c r="G134" s="55" t="n">
        <x:v>18500</x:v>
      </x:c>
      <x:c r="H134" s="55" t="n">
        <x:f>F134*G134</x:f>
        <x:v>18500</x:v>
      </x:c>
      <x:c r="I134" s="52" t="str">
        <x:v>国产（待定）</x:v>
      </x:c>
      <x:c r="J134" s="51" t="str"/>
    </x:row>
    <x:row r="135" ht="44" customHeight="1">
      <x:c r="A135" s="52" t="n">
        <x:v>97</x:v>
      </x:c>
      <x:c r="B135" s="51" t="str">
        <x:v>车间干管支撑架</x:v>
      </x:c>
      <x:c r="C135" s="51" t="str">
        <x:v>干管支撑架</x:v>
      </x:c>
      <x:c r="D135" s="51" t="str"/>
      <x:c r="E135" s="52" t="str">
        <x:v>项</x:v>
      </x:c>
      <x:c r="F135" s="53" t="n">
        <x:v>1</x:v>
      </x:c>
      <x:c r="G135" s="55" t="n">
        <x:v>38000</x:v>
      </x:c>
      <x:c r="H135" s="55" t="n">
        <x:f>F135*G135</x:f>
        <x:v>38000</x:v>
      </x:c>
      <x:c r="I135" s="52" t="str">
        <x:v>国产（待定）</x:v>
      </x:c>
      <x:c r="J135" s="51" t="str"/>
    </x:row>
    <x:row r="136" ht="24" customHeight="1">
      <x:c r="A136" s="64" t="str">
        <x:v>（十一）3楼车间废气抽风 管道系统（编号：3F-酸碱5）  小计</x:v>
      </x:c>
      <x:c r="B136" s="64" t="str">
        <x:v>（十一）3楼车间废气抽风 管道系统（编号：3F-酸碱5）  小计</x:v>
      </x:c>
      <x:c r="C136" s="64" t="str">
        <x:v>（十一）3楼车间废气抽风 管道系统（编号：3F-酸碱5）  小计</x:v>
      </x:c>
      <x:c r="D136" s="64" t="str">
        <x:v>（十一）3楼车间废气抽风 管道系统（编号：3F-酸碱5）  小计</x:v>
      </x:c>
      <x:c r="E136" s="64" t="str">
        <x:v>（十一）3楼车间废气抽风 管道系统（编号：3F-酸碱5）  小计</x:v>
      </x:c>
      <x:c r="F136" s="65"/>
      <x:c r="G136" s="65"/>
      <x:c r="H136" s="66" t="n">
        <x:f>SUM(H130:H135)</x:f>
        <x:v>162540</x:v>
      </x:c>
      <x:c r="I136" s="65"/>
      <x:c r="J136" s="65"/>
    </x:row>
    <x:row r="137" ht="24" customHeight="1">
      <x:c r="A137" s="46" t="str">
        <x:v>（十二）1楼车间新风送风 管道系统（编号：1F-送风1）</x:v>
      </x:c>
      <x:c r="B137" s="46" t="str">
        <x:v>（十二）1楼车间新风送风 管道系统（编号：1F-送风1）</x:v>
      </x:c>
      <x:c r="C137" s="46" t="str">
        <x:v>（十二）1楼车间新风送风 管道系统（编号：1F-送风1）</x:v>
      </x:c>
      <x:c r="D137" s="46" t="str">
        <x:v>（十二）1楼车间新风送风 管道系统（编号：1F-送风1）</x:v>
      </x:c>
      <x:c r="E137" s="46" t="str">
        <x:v>（十二）1楼车间新风送风 管道系统（编号：1F-送风1）</x:v>
      </x:c>
      <x:c r="F137" s="46" t="str">
        <x:v>（十二）1楼车间新风送风 管道系统（编号：1F-送风1）</x:v>
      </x:c>
      <x:c r="G137" s="46" t="str">
        <x:v>（十二）1楼车间新风送风 管道系统（编号：1F-送风1）</x:v>
      </x:c>
      <x:c r="H137" s="46" t="str">
        <x:v>（十二）1楼车间新风送风 管道系统（编号：1F-送风1）</x:v>
      </x:c>
      <x:c r="I137" s="46" t="str">
        <x:v>（十二）1楼车间新风送风 管道系统（编号：1F-送风1）</x:v>
      </x:c>
      <x:c r="J137" s="46" t="str">
        <x:v>（十二）1楼车间新风送风 管道系统（编号：1F-送风1）</x:v>
      </x:c>
    </x:row>
    <x:row r="138" ht="44" customHeight="1">
      <x:c r="A138" s="52" t="n">
        <x:v>98</x:v>
      </x:c>
      <x:c r="B138" s="51" t="str">
        <x:v>管道送风系统</x:v>
      </x:c>
      <x:c r="C138" s="51" t="str">
        <x:v>送风主管</x:v>
      </x:c>
      <x:c r="D138" s="51" t="str">
        <x:v>□1100×1100</x:v>
      </x:c>
      <x:c r="E138" s="52" t="str">
        <x:v>米</x:v>
      </x:c>
      <x:c r="F138" s="53" t="n">
        <x:v>36</x:v>
      </x:c>
      <x:c r="G138" s="55" t="n">
        <x:v>660</x:v>
      </x:c>
      <x:c r="H138" s="55" t="n">
        <x:f>F138*G138</x:f>
        <x:v>23760</x:v>
      </x:c>
      <x:c r="I138" s="52" t="str">
        <x:v>国产（待定）</x:v>
      </x:c>
      <x:c r="J138" s="51" t="str">
        <x:v>敷设至管井旁，阀后封闭备用</x:v>
      </x:c>
    </x:row>
    <x:row r="139" ht="44" customHeight="1">
      <x:c r="A139" s="52" t="n">
        <x:v>99</x:v>
      </x:c>
      <x:c r="B139" s="51" t="str">
        <x:v>管道送风系统</x:v>
      </x:c>
      <x:c r="C139" s="51" t="str">
        <x:v>90°弯头</x:v>
      </x:c>
      <x:c r="D139" s="51" t="str">
        <x:v>□1100×1100</x:v>
      </x:c>
      <x:c r="E139" s="52" t="str">
        <x:v>个</x:v>
      </x:c>
      <x:c r="F139" s="53" t="n">
        <x:v>6</x:v>
      </x:c>
      <x:c r="G139" s="55" t="n">
        <x:v>1000</x:v>
      </x:c>
      <x:c r="H139" s="55" t="n">
        <x:f>F139*G139</x:f>
        <x:v>6000</x:v>
      </x:c>
      <x:c r="I139" s="52" t="str">
        <x:v>国产（待定）</x:v>
      </x:c>
      <x:c r="J139" s="51" t="str"/>
    </x:row>
    <x:row r="140" ht="44" customHeight="1">
      <x:c r="A140" s="52" t="n">
        <x:v>100</x:v>
      </x:c>
      <x:c r="B140" s="51" t="str">
        <x:v>管道送风系统</x:v>
      </x:c>
      <x:c r="C140" s="51" t="str">
        <x:v>风阀</x:v>
      </x:c>
      <x:c r="D140" s="51" t="str">
        <x:v>□1100×1100，材质pp阻燃</x:v>
      </x:c>
      <x:c r="E140" s="52" t="str">
        <x:v>个</x:v>
      </x:c>
      <x:c r="F140" s="53" t="n">
        <x:v>1</x:v>
      </x:c>
      <x:c r="G140" s="55" t="n">
        <x:v>5000</x:v>
      </x:c>
      <x:c r="H140" s="55" t="n">
        <x:f>F140*G140</x:f>
        <x:v>5000</x:v>
      </x:c>
      <x:c r="I140" s="52" t="str">
        <x:v>国产（待定）</x:v>
      </x:c>
      <x:c r="J140" s="51" t="str"/>
    </x:row>
    <x:row r="141" ht="44" customHeight="1">
      <x:c r="A141" s="52" t="n">
        <x:v>101</x:v>
      </x:c>
      <x:c r="B141" s="51" t="str">
        <x:v>风管支架</x:v>
      </x:c>
      <x:c r="C141" s="51" t="str">
        <x:v>风管支架</x:v>
      </x:c>
      <x:c r="D141" s="51" t="str"/>
      <x:c r="E141" s="52" t="str">
        <x:v>项</x:v>
      </x:c>
      <x:c r="F141" s="53" t="n">
        <x:v>1</x:v>
      </x:c>
      <x:c r="G141" s="55" t="n">
        <x:v>4800</x:v>
      </x:c>
      <x:c r="H141" s="55" t="n">
        <x:f>F141*G141</x:f>
        <x:v>4800</x:v>
      </x:c>
      <x:c r="I141" s="52" t="str">
        <x:v>国产（待定）</x:v>
      </x:c>
      <x:c r="J141" s="51" t="str"/>
    </x:row>
    <x:row r="142" ht="24" customHeight="1">
      <x:c r="A142" s="64" t="str">
        <x:v>（十二）1楼车间新风送风 管道系统（编号：1F-送风1）  小计</x:v>
      </x:c>
      <x:c r="B142" s="64" t="str">
        <x:v>（十二）1楼车间新风送风 管道系统（编号：1F-送风1）  小计</x:v>
      </x:c>
      <x:c r="C142" s="64" t="str">
        <x:v>（十二）1楼车间新风送风 管道系统（编号：1F-送风1）  小计</x:v>
      </x:c>
      <x:c r="D142" s="64" t="str">
        <x:v>（十二）1楼车间新风送风 管道系统（编号：1F-送风1）  小计</x:v>
      </x:c>
      <x:c r="E142" s="64" t="str">
        <x:v>（十二）1楼车间新风送风 管道系统（编号：1F-送风1）  小计</x:v>
      </x:c>
      <x:c r="F142" s="65"/>
      <x:c r="G142" s="65"/>
      <x:c r="H142" s="66" t="n">
        <x:f>SUM(H138:H141)</x:f>
        <x:v>39560</x:v>
      </x:c>
      <x:c r="I142" s="65"/>
      <x:c r="J142" s="65"/>
    </x:row>
    <x:row r="143" ht="24" customHeight="1">
      <x:c r="A143" s="46" t="str">
        <x:v>（十三）2楼车间新风送风 管道系统（编号：2F-送风2）</x:v>
      </x:c>
      <x:c r="B143" s="46" t="str">
        <x:v>（十三）2楼车间新风送风 管道系统（编号：2F-送风2）</x:v>
      </x:c>
      <x:c r="C143" s="46" t="str">
        <x:v>（十三）2楼车间新风送风 管道系统（编号：2F-送风2）</x:v>
      </x:c>
      <x:c r="D143" s="46" t="str">
        <x:v>（十三）2楼车间新风送风 管道系统（编号：2F-送风2）</x:v>
      </x:c>
      <x:c r="E143" s="46" t="str">
        <x:v>（十三）2楼车间新风送风 管道系统（编号：2F-送风2）</x:v>
      </x:c>
      <x:c r="F143" s="46" t="str">
        <x:v>（十三）2楼车间新风送风 管道系统（编号：2F-送风2）</x:v>
      </x:c>
      <x:c r="G143" s="46" t="str">
        <x:v>（十三）2楼车间新风送风 管道系统（编号：2F-送风2）</x:v>
      </x:c>
      <x:c r="H143" s="46" t="str">
        <x:v>（十三）2楼车间新风送风 管道系统（编号：2F-送风2）</x:v>
      </x:c>
      <x:c r="I143" s="46" t="str">
        <x:v>（十三）2楼车间新风送风 管道系统（编号：2F-送风2）</x:v>
      </x:c>
      <x:c r="J143" s="46" t="str">
        <x:v>（十三）2楼车间新风送风 管道系统（编号：2F-送风2）</x:v>
      </x:c>
    </x:row>
    <x:row r="144" ht="44" customHeight="1">
      <x:c r="A144" s="52" t="n">
        <x:v>102</x:v>
      </x:c>
      <x:c r="B144" s="51" t="str">
        <x:v>管道送风系统</x:v>
      </x:c>
      <x:c r="C144" s="51" t="str">
        <x:v>送风主管</x:v>
      </x:c>
      <x:c r="D144" s="51" t="str">
        <x:v>□1100×1100</x:v>
      </x:c>
      <x:c r="E144" s="52" t="str">
        <x:v>米</x:v>
      </x:c>
      <x:c r="F144" s="53" t="n">
        <x:v>24</x:v>
      </x:c>
      <x:c r="G144" s="55" t="n">
        <x:v>660</x:v>
      </x:c>
      <x:c r="H144" s="55" t="n">
        <x:f>F144*G144</x:f>
        <x:v>15840</x:v>
      </x:c>
      <x:c r="I144" s="52" t="str">
        <x:v>国产（待定）</x:v>
      </x:c>
      <x:c r="J144" s="51" t="str">
        <x:v>敷设至管井旁，阀后封闭备用</x:v>
      </x:c>
    </x:row>
    <x:row r="145" ht="44" customHeight="1">
      <x:c r="A145" s="52" t="n">
        <x:v>103</x:v>
      </x:c>
      <x:c r="B145" s="51" t="str">
        <x:v>管道送风系统</x:v>
      </x:c>
      <x:c r="C145" s="51" t="str">
        <x:v>90°弯头</x:v>
      </x:c>
      <x:c r="D145" s="51" t="str">
        <x:v>□1100×1100</x:v>
      </x:c>
      <x:c r="E145" s="52" t="str">
        <x:v>个</x:v>
      </x:c>
      <x:c r="F145" s="53" t="n">
        <x:v>6</x:v>
      </x:c>
      <x:c r="G145" s="55" t="n">
        <x:v>1000</x:v>
      </x:c>
      <x:c r="H145" s="55" t="n">
        <x:f>F145*G145</x:f>
        <x:v>6000</x:v>
      </x:c>
      <x:c r="I145" s="52" t="str">
        <x:v>国产（待定）</x:v>
      </x:c>
      <x:c r="J145" s="51" t="str"/>
    </x:row>
    <x:row r="146" ht="44" customHeight="1">
      <x:c r="A146" s="52" t="n">
        <x:v>104</x:v>
      </x:c>
      <x:c r="B146" s="51" t="str">
        <x:v>管道送风系统</x:v>
      </x:c>
      <x:c r="C146" s="51" t="str">
        <x:v>风阀</x:v>
      </x:c>
      <x:c r="D146" s="51" t="str">
        <x:v>□1100×1100，材质pp阻燃</x:v>
      </x:c>
      <x:c r="E146" s="52" t="str">
        <x:v>个</x:v>
      </x:c>
      <x:c r="F146" s="53" t="n">
        <x:v>1</x:v>
      </x:c>
      <x:c r="G146" s="55" t="n">
        <x:v>5000</x:v>
      </x:c>
      <x:c r="H146" s="55" t="n">
        <x:f>F146*G146</x:f>
        <x:v>5000</x:v>
      </x:c>
      <x:c r="I146" s="52" t="str">
        <x:v>国产（待定）</x:v>
      </x:c>
      <x:c r="J146" s="51" t="str"/>
    </x:row>
    <x:row r="147" ht="44" customHeight="1">
      <x:c r="A147" s="52" t="n">
        <x:v>105</x:v>
      </x:c>
      <x:c r="B147" s="51" t="str">
        <x:v>风管支架</x:v>
      </x:c>
      <x:c r="C147" s="51" t="str">
        <x:v>风管支架</x:v>
      </x:c>
      <x:c r="D147" s="51" t="str"/>
      <x:c r="E147" s="52" t="str">
        <x:v>项</x:v>
      </x:c>
      <x:c r="F147" s="53" t="n">
        <x:v>1</x:v>
      </x:c>
      <x:c r="G147" s="55" t="n">
        <x:v>4300</x:v>
      </x:c>
      <x:c r="H147" s="55" t="n">
        <x:f>F147*G147</x:f>
        <x:v>4300</x:v>
      </x:c>
      <x:c r="I147" s="52" t="str">
        <x:v>国产（待定）</x:v>
      </x:c>
      <x:c r="J147" s="51" t="str"/>
    </x:row>
    <x:row r="148" ht="24" customHeight="1">
      <x:c r="A148" s="64" t="str">
        <x:v>（十三）2楼车间新风送风 管道系统（编号：2F-送风2）  小计</x:v>
      </x:c>
      <x:c r="B148" s="64" t="str">
        <x:v>（十三）2楼车间新风送风 管道系统（编号：2F-送风2）  小计</x:v>
      </x:c>
      <x:c r="C148" s="64" t="str">
        <x:v>（十三）2楼车间新风送风 管道系统（编号：2F-送风2）  小计</x:v>
      </x:c>
      <x:c r="D148" s="64" t="str">
        <x:v>（十三）2楼车间新风送风 管道系统（编号：2F-送风2）  小计</x:v>
      </x:c>
      <x:c r="E148" s="64" t="str">
        <x:v>（十三）2楼车间新风送风 管道系统（编号：2F-送风2）  小计</x:v>
      </x:c>
      <x:c r="F148" s="65"/>
      <x:c r="G148" s="65"/>
      <x:c r="H148" s="66" t="n">
        <x:f>SUM(H144:H147)</x:f>
        <x:v>31140</x:v>
      </x:c>
      <x:c r="I148" s="65"/>
      <x:c r="J148" s="65"/>
    </x:row>
    <x:row r="149" ht="24" customHeight="1">
      <x:c r="A149" s="46" t="str">
        <x:v>（十四）2楼车间新风送风 管道系统（编号：2F-送风3）</x:v>
      </x:c>
      <x:c r="B149" s="46" t="str">
        <x:v>（十四）2楼车间新风送风 管道系统（编号：2F-送风3）</x:v>
      </x:c>
      <x:c r="C149" s="46" t="str">
        <x:v>（十四）2楼车间新风送风 管道系统（编号：2F-送风3）</x:v>
      </x:c>
      <x:c r="D149" s="46" t="str">
        <x:v>（十四）2楼车间新风送风 管道系统（编号：2F-送风3）</x:v>
      </x:c>
      <x:c r="E149" s="46" t="str">
        <x:v>（十四）2楼车间新风送风 管道系统（编号：2F-送风3）</x:v>
      </x:c>
      <x:c r="F149" s="46" t="str">
        <x:v>（十四）2楼车间新风送风 管道系统（编号：2F-送风3）</x:v>
      </x:c>
      <x:c r="G149" s="46" t="str">
        <x:v>（十四）2楼车间新风送风 管道系统（编号：2F-送风3）</x:v>
      </x:c>
      <x:c r="H149" s="46" t="str">
        <x:v>（十四）2楼车间新风送风 管道系统（编号：2F-送风3）</x:v>
      </x:c>
      <x:c r="I149" s="46" t="str">
        <x:v>（十四）2楼车间新风送风 管道系统（编号：2F-送风3）</x:v>
      </x:c>
      <x:c r="J149" s="46" t="str">
        <x:v>（十四）2楼车间新风送风 管道系统（编号：2F-送风3）</x:v>
      </x:c>
    </x:row>
    <x:row r="150" ht="44" customHeight="1">
      <x:c r="A150" s="52" t="n">
        <x:v>106</x:v>
      </x:c>
      <x:c r="B150" s="51" t="str">
        <x:v>管道送风系统</x:v>
      </x:c>
      <x:c r="C150" s="51" t="str">
        <x:v>送风主管</x:v>
      </x:c>
      <x:c r="D150" s="51" t="str">
        <x:v>□1100×1100</x:v>
      </x:c>
      <x:c r="E150" s="52" t="str">
        <x:v>米</x:v>
      </x:c>
      <x:c r="F150" s="53" t="n">
        <x:v>24</x:v>
      </x:c>
      <x:c r="G150" s="55" t="n">
        <x:v>660</x:v>
      </x:c>
      <x:c r="H150" s="55" t="n">
        <x:f>F150*G150</x:f>
        <x:v>15840</x:v>
      </x:c>
      <x:c r="I150" s="52" t="str">
        <x:v>国产（待定）</x:v>
      </x:c>
      <x:c r="J150" s="51" t="str">
        <x:v>敷设至管井旁，阀后封闭备用</x:v>
      </x:c>
    </x:row>
    <x:row r="151" ht="44" customHeight="1">
      <x:c r="A151" s="52" t="n">
        <x:v>107</x:v>
      </x:c>
      <x:c r="B151" s="51" t="str">
        <x:v>管道送风系统</x:v>
      </x:c>
      <x:c r="C151" s="51" t="str">
        <x:v>90°弯头</x:v>
      </x:c>
      <x:c r="D151" s="51" t="str">
        <x:v>□1100×1100</x:v>
      </x:c>
      <x:c r="E151" s="52" t="str">
        <x:v>个</x:v>
      </x:c>
      <x:c r="F151" s="53" t="n">
        <x:v>6</x:v>
      </x:c>
      <x:c r="G151" s="55" t="n">
        <x:v>1000</x:v>
      </x:c>
      <x:c r="H151" s="55" t="n">
        <x:f>F151*G151</x:f>
        <x:v>6000</x:v>
      </x:c>
      <x:c r="I151" s="52" t="str">
        <x:v>国产（待定）</x:v>
      </x:c>
      <x:c r="J151" s="51" t="str"/>
    </x:row>
    <x:row r="152" ht="44" customHeight="1">
      <x:c r="A152" s="52" t="n">
        <x:v>108</x:v>
      </x:c>
      <x:c r="B152" s="51" t="str">
        <x:v>管道送风系统</x:v>
      </x:c>
      <x:c r="C152" s="51" t="str">
        <x:v>风阀</x:v>
      </x:c>
      <x:c r="D152" s="51" t="str">
        <x:v>□1100×1100，材质pp阻燃</x:v>
      </x:c>
      <x:c r="E152" s="52" t="str">
        <x:v>个</x:v>
      </x:c>
      <x:c r="F152" s="53" t="n">
        <x:v>1</x:v>
      </x:c>
      <x:c r="G152" s="55" t="n">
        <x:v>5000</x:v>
      </x:c>
      <x:c r="H152" s="55" t="n">
        <x:f>F152*G152</x:f>
        <x:v>5000</x:v>
      </x:c>
      <x:c r="I152" s="52" t="str">
        <x:v>国产（待定）</x:v>
      </x:c>
      <x:c r="J152" s="51" t="str"/>
    </x:row>
    <x:row r="153" ht="44" customHeight="1">
      <x:c r="A153" s="52" t="n">
        <x:v>109</x:v>
      </x:c>
      <x:c r="B153" s="51" t="str">
        <x:v>风管支架</x:v>
      </x:c>
      <x:c r="C153" s="51" t="str">
        <x:v>风管支架</x:v>
      </x:c>
      <x:c r="D153" s="51" t="str"/>
      <x:c r="E153" s="52" t="str">
        <x:v>项</x:v>
      </x:c>
      <x:c r="F153" s="53" t="n">
        <x:v>1</x:v>
      </x:c>
      <x:c r="G153" s="55" t="n">
        <x:v>4300</x:v>
      </x:c>
      <x:c r="H153" s="55" t="n">
        <x:f>F153*G153</x:f>
        <x:v>4300</x:v>
      </x:c>
      <x:c r="I153" s="52" t="str">
        <x:v>国产（待定）</x:v>
      </x:c>
      <x:c r="J153" s="51" t="str"/>
    </x:row>
    <x:row r="154" ht="24" customHeight="1">
      <x:c r="A154" s="64" t="str">
        <x:v>（十四）2楼车间新风送风 管道系统（编号：2F-送风3）  小计</x:v>
      </x:c>
      <x:c r="B154" s="64" t="str">
        <x:v>（十四）2楼车间新风送风 管道系统（编号：2F-送风3）  小计</x:v>
      </x:c>
      <x:c r="C154" s="64" t="str">
        <x:v>（十四）2楼车间新风送风 管道系统（编号：2F-送风3）  小计</x:v>
      </x:c>
      <x:c r="D154" s="64" t="str">
        <x:v>（十四）2楼车间新风送风 管道系统（编号：2F-送风3）  小计</x:v>
      </x:c>
      <x:c r="E154" s="64" t="str">
        <x:v>（十四）2楼车间新风送风 管道系统（编号：2F-送风3）  小计</x:v>
      </x:c>
      <x:c r="F154" s="65"/>
      <x:c r="G154" s="65"/>
      <x:c r="H154" s="66" t="n">
        <x:f>SUM(H150:H153)</x:f>
        <x:v>31140</x:v>
      </x:c>
      <x:c r="I154" s="65"/>
      <x:c r="J154" s="65"/>
    </x:row>
    <x:row r="155" ht="24" customHeight="1">
      <x:c r="A155" s="46" t="str">
        <x:v>（十五）3楼车间新风送风 管道系统（编号：3F-送风4）</x:v>
      </x:c>
      <x:c r="B155" s="46" t="str">
        <x:v>（十五）3楼车间新风送风 管道系统（编号：3F-送风4）</x:v>
      </x:c>
      <x:c r="C155" s="46" t="str">
        <x:v>（十五）3楼车间新风送风 管道系统（编号：3F-送风4）</x:v>
      </x:c>
      <x:c r="D155" s="46" t="str">
        <x:v>（十五）3楼车间新风送风 管道系统（编号：3F-送风4）</x:v>
      </x:c>
      <x:c r="E155" s="46" t="str">
        <x:v>（十五）3楼车间新风送风 管道系统（编号：3F-送风4）</x:v>
      </x:c>
      <x:c r="F155" s="46" t="str">
        <x:v>（十五）3楼车间新风送风 管道系统（编号：3F-送风4）</x:v>
      </x:c>
      <x:c r="G155" s="46" t="str">
        <x:v>（十五）3楼车间新风送风 管道系统（编号：3F-送风4）</x:v>
      </x:c>
      <x:c r="H155" s="46" t="str">
        <x:v>（十五）3楼车间新风送风 管道系统（编号：3F-送风4）</x:v>
      </x:c>
      <x:c r="I155" s="46" t="str">
        <x:v>（十五）3楼车间新风送风 管道系统（编号：3F-送风4）</x:v>
      </x:c>
      <x:c r="J155" s="46" t="str">
        <x:v>（十五）3楼车间新风送风 管道系统（编号：3F-送风4）</x:v>
      </x:c>
    </x:row>
    <x:row r="156" ht="44" customHeight="1">
      <x:c r="A156" s="52" t="n">
        <x:v>110</x:v>
      </x:c>
      <x:c r="B156" s="51" t="str">
        <x:v>管道送风系统</x:v>
      </x:c>
      <x:c r="C156" s="51" t="str">
        <x:v>送风主管</x:v>
      </x:c>
      <x:c r="D156" s="51" t="str">
        <x:v>□1100×1100</x:v>
      </x:c>
      <x:c r="E156" s="52" t="str">
        <x:v>米</x:v>
      </x:c>
      <x:c r="F156" s="53" t="n">
        <x:v>108</x:v>
      </x:c>
      <x:c r="G156" s="55" t="n">
        <x:v>680</x:v>
      </x:c>
      <x:c r="H156" s="55" t="n">
        <x:f>F156*G156</x:f>
        <x:v>73440</x:v>
      </x:c>
      <x:c r="I156" s="52" t="str">
        <x:v>国产（待定）</x:v>
      </x:c>
      <x:c r="J156" s="51" t="str">
        <x:v>敷设至三楼生产线端面</x:v>
      </x:c>
    </x:row>
    <x:row r="157" ht="44" customHeight="1">
      <x:c r="A157" s="52" t="n">
        <x:v>111</x:v>
      </x:c>
      <x:c r="B157" s="51" t="str">
        <x:v>管道送风系统</x:v>
      </x:c>
      <x:c r="C157" s="51" t="str">
        <x:v>90°弯头</x:v>
      </x:c>
      <x:c r="D157" s="51" t="str">
        <x:v>□1100×1100</x:v>
      </x:c>
      <x:c r="E157" s="52" t="str">
        <x:v>个</x:v>
      </x:c>
      <x:c r="F157" s="53" t="n">
        <x:v>8</x:v>
      </x:c>
      <x:c r="G157" s="55" t="n">
        <x:v>1050</x:v>
      </x:c>
      <x:c r="H157" s="55" t="n">
        <x:f>F157*G157</x:f>
        <x:v>8400</x:v>
      </x:c>
      <x:c r="I157" s="52" t="str">
        <x:v>国产（待定）</x:v>
      </x:c>
      <x:c r="J157" s="51" t="str"/>
    </x:row>
    <x:row r="158" ht="44" customHeight="1">
      <x:c r="A158" s="52" t="n">
        <x:v>112</x:v>
      </x:c>
      <x:c r="B158" s="51" t="str">
        <x:v>管道送风系统</x:v>
      </x:c>
      <x:c r="C158" s="51" t="str">
        <x:v>风阀</x:v>
      </x:c>
      <x:c r="D158" s="51" t="str">
        <x:v>□1100×1100，材质pp阻燃</x:v>
      </x:c>
      <x:c r="E158" s="52" t="str">
        <x:v>个</x:v>
      </x:c>
      <x:c r="F158" s="53" t="n">
        <x:v>1</x:v>
      </x:c>
      <x:c r="G158" s="55" t="n">
        <x:v>5400</x:v>
      </x:c>
      <x:c r="H158" s="55" t="n">
        <x:f>F158*G158</x:f>
        <x:v>5400</x:v>
      </x:c>
      <x:c r="I158" s="52" t="str">
        <x:v>国产（待定）</x:v>
      </x:c>
      <x:c r="J158" s="51" t="str"/>
    </x:row>
    <x:row r="159" ht="44" customHeight="1">
      <x:c r="A159" s="52" t="n">
        <x:v>113</x:v>
      </x:c>
      <x:c r="B159" s="51" t="str">
        <x:v>风管支架</x:v>
      </x:c>
      <x:c r="C159" s="51" t="str">
        <x:v>风管支架</x:v>
      </x:c>
      <x:c r="D159" s="51" t="str"/>
      <x:c r="E159" s="52" t="str">
        <x:v>项</x:v>
      </x:c>
      <x:c r="F159" s="53" t="n">
        <x:v>1</x:v>
      </x:c>
      <x:c r="G159" s="55" t="n">
        <x:v>17500</x:v>
      </x:c>
      <x:c r="H159" s="55" t="n">
        <x:f>F159*G159</x:f>
        <x:v>17500</x:v>
      </x:c>
      <x:c r="I159" s="52" t="str">
        <x:v>国产（待定）</x:v>
      </x:c>
      <x:c r="J159" s="51" t="str"/>
    </x:row>
    <x:row r="160" ht="44" customHeight="1">
      <x:c r="A160" s="52" t="n">
        <x:v>114</x:v>
      </x:c>
      <x:c r="B160" s="51" t="str">
        <x:v>车间干管支撑架</x:v>
      </x:c>
      <x:c r="C160" s="51" t="str">
        <x:v>干管支撑架</x:v>
      </x:c>
      <x:c r="D160" s="51" t="str"/>
      <x:c r="E160" s="52" t="str">
        <x:v>项</x:v>
      </x:c>
      <x:c r="F160" s="53" t="n">
        <x:v>1</x:v>
      </x:c>
      <x:c r="G160" s="55" t="n">
        <x:v>35000</x:v>
      </x:c>
      <x:c r="H160" s="55" t="n">
        <x:f>F160*G160</x:f>
        <x:v>35000</x:v>
      </x:c>
      <x:c r="I160" s="52" t="str">
        <x:v>国产（待定）</x:v>
      </x:c>
      <x:c r="J160" s="51" t="str"/>
    </x:row>
    <x:row r="161" ht="24" customHeight="1">
      <x:c r="A161" s="64" t="str">
        <x:v>（十五）3楼车间新风送风 管道系统（编号：3F-送风4）  小计</x:v>
      </x:c>
      <x:c r="B161" s="64" t="str">
        <x:v>（十五）3楼车间新风送风 管道系统（编号：3F-送风4）  小计</x:v>
      </x:c>
      <x:c r="C161" s="64" t="str">
        <x:v>（十五）3楼车间新风送风 管道系统（编号：3F-送风4）  小计</x:v>
      </x:c>
      <x:c r="D161" s="64" t="str">
        <x:v>（十五）3楼车间新风送风 管道系统（编号：3F-送风4）  小计</x:v>
      </x:c>
      <x:c r="E161" s="64" t="str">
        <x:v>（十五）3楼车间新风送风 管道系统（编号：3F-送风4）  小计</x:v>
      </x:c>
      <x:c r="F161" s="65"/>
      <x:c r="G161" s="65"/>
      <x:c r="H161" s="66" t="n">
        <x:f>SUM(H156:H160)</x:f>
        <x:v>139740</x:v>
      </x:c>
      <x:c r="I161" s="65"/>
      <x:c r="J161" s="65"/>
    </x:row>
    <x:row r="162" ht="24" customHeight="1">
      <x:c r="A162" s="46" t="str">
        <x:v>（十六）3楼车间新风送风 管道系统（编号：3F-送风5）</x:v>
      </x:c>
      <x:c r="B162" s="46" t="str">
        <x:v>（十六）3楼车间新风送风 管道系统（编号：3F-送风5）</x:v>
      </x:c>
      <x:c r="C162" s="46" t="str">
        <x:v>（十六）3楼车间新风送风 管道系统（编号：3F-送风5）</x:v>
      </x:c>
      <x:c r="D162" s="46" t="str">
        <x:v>（十六）3楼车间新风送风 管道系统（编号：3F-送风5）</x:v>
      </x:c>
      <x:c r="E162" s="46" t="str">
        <x:v>（十六）3楼车间新风送风 管道系统（编号：3F-送风5）</x:v>
      </x:c>
      <x:c r="F162" s="46" t="str">
        <x:v>（十六）3楼车间新风送风 管道系统（编号：3F-送风5）</x:v>
      </x:c>
      <x:c r="G162" s="46" t="str">
        <x:v>（十六）3楼车间新风送风 管道系统（编号：3F-送风5）</x:v>
      </x:c>
      <x:c r="H162" s="46" t="str">
        <x:v>（十六）3楼车间新风送风 管道系统（编号：3F-送风5）</x:v>
      </x:c>
      <x:c r="I162" s="46" t="str">
        <x:v>（十六）3楼车间新风送风 管道系统（编号：3F-送风5）</x:v>
      </x:c>
      <x:c r="J162" s="46" t="str">
        <x:v>（十六）3楼车间新风送风 管道系统（编号：3F-送风5）</x:v>
      </x:c>
    </x:row>
    <x:row r="163" ht="44" customHeight="1">
      <x:c r="A163" s="52" t="n">
        <x:v>115</x:v>
      </x:c>
      <x:c r="B163" s="51" t="str">
        <x:v>管道送风系统</x:v>
      </x:c>
      <x:c r="C163" s="51" t="str">
        <x:v>送风主管</x:v>
      </x:c>
      <x:c r="D163" s="51" t="str">
        <x:v>□1100×1100</x:v>
      </x:c>
      <x:c r="E163" s="52" t="str">
        <x:v>米</x:v>
      </x:c>
      <x:c r="F163" s="53" t="n">
        <x:v>90</x:v>
      </x:c>
      <x:c r="G163" s="55" t="n">
        <x:v>680</x:v>
      </x:c>
      <x:c r="H163" s="55" t="n">
        <x:f>F163*G163</x:f>
        <x:v>61200</x:v>
      </x:c>
      <x:c r="I163" s="52" t="str">
        <x:v>国产（待定）</x:v>
      </x:c>
      <x:c r="J163" s="51" t="str">
        <x:v>敷设至三楼生产线端面</x:v>
      </x:c>
    </x:row>
    <x:row r="164" ht="44" customHeight="1">
      <x:c r="A164" s="52" t="n">
        <x:v>116</x:v>
      </x:c>
      <x:c r="B164" s="51" t="str">
        <x:v>管道送风系统</x:v>
      </x:c>
      <x:c r="C164" s="51" t="str">
        <x:v>90°弯头</x:v>
      </x:c>
      <x:c r="D164" s="51" t="str">
        <x:v>□1100×1100</x:v>
      </x:c>
      <x:c r="E164" s="52" t="str">
        <x:v>个</x:v>
      </x:c>
      <x:c r="F164" s="53" t="n">
        <x:v>8</x:v>
      </x:c>
      <x:c r="G164" s="55" t="n">
        <x:v>1050</x:v>
      </x:c>
      <x:c r="H164" s="55" t="n">
        <x:f>F164*G164</x:f>
        <x:v>8400</x:v>
      </x:c>
      <x:c r="I164" s="52" t="str">
        <x:v>国产（待定）</x:v>
      </x:c>
      <x:c r="J164" s="51" t="str"/>
    </x:row>
    <x:row r="165" ht="44" customHeight="1">
      <x:c r="A165" s="52" t="n">
        <x:v>117</x:v>
      </x:c>
      <x:c r="B165" s="51" t="str">
        <x:v>管道送风系统</x:v>
      </x:c>
      <x:c r="C165" s="51" t="str">
        <x:v>风阀</x:v>
      </x:c>
      <x:c r="D165" s="51" t="str">
        <x:v>□1100×1100，材质pp阻燃</x:v>
      </x:c>
      <x:c r="E165" s="52" t="str">
        <x:v>个</x:v>
      </x:c>
      <x:c r="F165" s="53" t="n">
        <x:v>1</x:v>
      </x:c>
      <x:c r="G165" s="55" t="n">
        <x:v>5400</x:v>
      </x:c>
      <x:c r="H165" s="55" t="n">
        <x:f>F165*G165</x:f>
        <x:v>5400</x:v>
      </x:c>
      <x:c r="I165" s="52" t="str">
        <x:v>国产（待定）</x:v>
      </x:c>
      <x:c r="J165" s="51" t="str"/>
    </x:row>
    <x:row r="166" ht="44" customHeight="1">
      <x:c r="A166" s="52" t="n">
        <x:v>118</x:v>
      </x:c>
      <x:c r="B166" s="51" t="str">
        <x:v>风管支架</x:v>
      </x:c>
      <x:c r="C166" s="51" t="str">
        <x:v>风管支架</x:v>
      </x:c>
      <x:c r="D166" s="51" t="str"/>
      <x:c r="E166" s="52" t="str">
        <x:v>项</x:v>
      </x:c>
      <x:c r="F166" s="53" t="n">
        <x:v>1</x:v>
      </x:c>
      <x:c r="G166" s="55" t="n">
        <x:v>16500</x:v>
      </x:c>
      <x:c r="H166" s="55" t="n">
        <x:f>F166*G166</x:f>
        <x:v>16500</x:v>
      </x:c>
      <x:c r="I166" s="52" t="str">
        <x:v>国产（待定）</x:v>
      </x:c>
      <x:c r="J166" s="51" t="str"/>
    </x:row>
    <x:row r="167" ht="44" customHeight="1">
      <x:c r="A167" s="52" t="n">
        <x:v>119</x:v>
      </x:c>
      <x:c r="B167" s="51" t="str">
        <x:v>车间干管支撑架</x:v>
      </x:c>
      <x:c r="C167" s="51" t="str">
        <x:v>干管支撑架</x:v>
      </x:c>
      <x:c r="D167" s="51" t="str"/>
      <x:c r="E167" s="52" t="str">
        <x:v>项</x:v>
      </x:c>
      <x:c r="F167" s="53" t="n">
        <x:v>1</x:v>
      </x:c>
      <x:c r="G167" s="55" t="n">
        <x:v>35000</x:v>
      </x:c>
      <x:c r="H167" s="55" t="n">
        <x:f>F167*G167</x:f>
        <x:v>35000</x:v>
      </x:c>
      <x:c r="I167" s="52" t="str">
        <x:v>国产（待定）</x:v>
      </x:c>
      <x:c r="J167" s="51" t="str"/>
    </x:row>
    <x:row r="168" ht="24" customHeight="1">
      <x:c r="A168" s="64" t="str">
        <x:v>（十六）3楼车间新风送风 管道系统（编号：3F-送风5）  小计</x:v>
      </x:c>
      <x:c r="B168" s="64" t="str">
        <x:v>（十六）3楼车间新风送风 管道系统（编号：3F-送风5）  小计</x:v>
      </x:c>
      <x:c r="C168" s="64" t="str">
        <x:v>（十六）3楼车间新风送风 管道系统（编号：3F-送风5）  小计</x:v>
      </x:c>
      <x:c r="D168" s="64" t="str">
        <x:v>（十六）3楼车间新风送风 管道系统（编号：3F-送风5）  小计</x:v>
      </x:c>
      <x:c r="E168" s="64" t="str">
        <x:v>（十六）3楼车间新风送风 管道系统（编号：3F-送风5）  小计</x:v>
      </x:c>
      <x:c r="F168" s="65"/>
      <x:c r="G168" s="65"/>
      <x:c r="H168" s="66" t="n">
        <x:f>SUM(H163:H167)</x:f>
        <x:v>126500</x:v>
      </x:c>
      <x:c r="I168" s="65"/>
      <x:c r="J168" s="65"/>
    </x:row>
    <x:row r="169" ht="24" customHeight="1">
      <x:c r="A169" s="46" t="str">
        <x:v>（十七）安装辅材及配套费用</x:v>
      </x:c>
      <x:c r="B169" s="46" t="str">
        <x:v>（十七）安装辅材及配套费用</x:v>
      </x:c>
      <x:c r="C169" s="46" t="str">
        <x:v>（十七）安装辅材及配套费用</x:v>
      </x:c>
      <x:c r="D169" s="46" t="str">
        <x:v>（十七）安装辅材及配套费用</x:v>
      </x:c>
      <x:c r="E169" s="46" t="str">
        <x:v>（十七）安装辅材及配套费用</x:v>
      </x:c>
      <x:c r="F169" s="46" t="str">
        <x:v>（十七）安装辅材及配套费用</x:v>
      </x:c>
      <x:c r="G169" s="46" t="str">
        <x:v>（十七）安装辅材及配套费用</x:v>
      </x:c>
      <x:c r="H169" s="46" t="str">
        <x:v>（十七）安装辅材及配套费用</x:v>
      </x:c>
      <x:c r="I169" s="46" t="str">
        <x:v>（十七）安装辅材及配套费用</x:v>
      </x:c>
      <x:c r="J169" s="46" t="str">
        <x:v>（十七）安装辅材及配套费用</x:v>
      </x:c>
    </x:row>
    <x:row r="170" ht="44" customHeight="1">
      <x:c r="A170" s="52" t="n">
        <x:v>120</x:v>
      </x:c>
      <x:c r="B170" s="51" t="str">
        <x:v>安装辅材</x:v>
      </x:c>
      <x:c r="C170" s="51" t="str">
        <x:v>PP焊条及焊接材料</x:v>
      </x:c>
      <x:c r="D170" s="51" t="str">
        <x:v>PP/FRPP风管现场焊接及修补用</x:v>
      </x:c>
      <x:c r="E170" s="52" t="str">
        <x:v>项</x:v>
      </x:c>
      <x:c r="F170" s="53" t="n">
        <x:v>1</x:v>
      </x:c>
      <x:c r="G170" s="55" t="n">
        <x:v>18000</x:v>
      </x:c>
      <x:c r="H170" s="55" t="n">
        <x:f>F170*G170</x:f>
        <x:v>18000</x:v>
      </x:c>
      <x:c r="I170" s="52" t="str">
        <x:v>国产（待定）</x:v>
      </x:c>
      <x:c r="J170" s="51" t="str"/>
    </x:row>
    <x:row r="171" ht="44" customHeight="1">
      <x:c r="A171" s="52" t="n">
        <x:v>121</x:v>
      </x:c>
      <x:c r="B171" s="51" t="str">
        <x:v>安装辅材</x:v>
      </x:c>
      <x:c r="C171" s="51" t="str">
        <x:v>法兰、密封垫片及紧固件</x:v>
      </x:c>
      <x:c r="D171" s="51" t="str">
        <x:v>风管法兰连接、阀门及设备接口配套</x:v>
      </x:c>
      <x:c r="E171" s="52" t="str">
        <x:v>项</x:v>
      </x:c>
      <x:c r="F171" s="53" t="n">
        <x:v>1</x:v>
      </x:c>
      <x:c r="G171" s="55" t="n">
        <x:v>45000</x:v>
      </x:c>
      <x:c r="H171" s="55" t="n">
        <x:f>F171*G171</x:f>
        <x:v>45000</x:v>
      </x:c>
      <x:c r="I171" s="52" t="str">
        <x:v>国产（待定）</x:v>
      </x:c>
      <x:c r="J171" s="51" t="str"/>
    </x:row>
    <x:row r="172" ht="44" customHeight="1">
      <x:c r="A172" s="52" t="n">
        <x:v>122</x:v>
      </x:c>
      <x:c r="B172" s="51" t="str">
        <x:v>安装辅材</x:v>
      </x:c>
      <x:c r="C172" s="51" t="str">
        <x:v>支吊架及管卡辅件</x:v>
      </x:c>
      <x:c r="D172" s="51" t="str">
        <x:v>型钢、管卡、膨胀螺栓及防腐处理</x:v>
      </x:c>
      <x:c r="E172" s="52" t="str">
        <x:v>项</x:v>
      </x:c>
      <x:c r="F172" s="53" t="n">
        <x:v>1</x:v>
      </x:c>
      <x:c r="G172" s="55" t="n">
        <x:v>35000</x:v>
      </x:c>
      <x:c r="H172" s="55" t="n">
        <x:f>F172*G172</x:f>
        <x:v>35000</x:v>
      </x:c>
      <x:c r="I172" s="52" t="str">
        <x:v>国产（待定）</x:v>
      </x:c>
      <x:c r="J172" s="51" t="str"/>
    </x:row>
    <x:row r="173" ht="44" customHeight="1">
      <x:c r="A173" s="52" t="n">
        <x:v>123</x:v>
      </x:c>
      <x:c r="B173" s="51" t="str">
        <x:v>安装辅材</x:v>
      </x:c>
      <x:c r="C173" s="51" t="str">
        <x:v>设备预埋件及地脚螺栓</x:v>
      </x:c>
      <x:c r="D173" s="51" t="str">
        <x:v>设备就位固定用</x:v>
      </x:c>
      <x:c r="E173" s="52" t="str">
        <x:v>项</x:v>
      </x:c>
      <x:c r="F173" s="53" t="n">
        <x:v>1</x:v>
      </x:c>
      <x:c r="G173" s="55" t="n">
        <x:v>28000</x:v>
      </x:c>
      <x:c r="H173" s="55" t="n">
        <x:f>F173*G173</x:f>
        <x:v>28000</x:v>
      </x:c>
      <x:c r="I173" s="52" t="str">
        <x:v>国产（待定）</x:v>
      </x:c>
      <x:c r="J173" s="51" t="str">
        <x:v>不含土建基础本体</x:v>
      </x:c>
    </x:row>
    <x:row r="174" ht="44" customHeight="1">
      <x:c r="A174" s="52" t="n">
        <x:v>124</x:v>
      </x:c>
      <x:c r="B174" s="51" t="str">
        <x:v>安装辅材</x:v>
      </x:c>
      <x:c r="C174" s="51" t="str">
        <x:v>吊装索具及专用工具</x:v>
      </x:c>
      <x:c r="D174" s="51" t="str">
        <x:v>现场吊装及安装专用工器具</x:v>
      </x:c>
      <x:c r="E174" s="52" t="str">
        <x:v>项</x:v>
      </x:c>
      <x:c r="F174" s="53" t="n">
        <x:v>1</x:v>
      </x:c>
      <x:c r="G174" s="55" t="n">
        <x:v>32000</x:v>
      </x:c>
      <x:c r="H174" s="55" t="n">
        <x:f>F174*G174</x:f>
        <x:v>32000</x:v>
      </x:c>
      <x:c r="I174" s="52" t="str">
        <x:v>国产（待定）</x:v>
      </x:c>
      <x:c r="J174" s="51" t="str"/>
    </x:row>
    <x:row r="175" ht="44" customHeight="1">
      <x:c r="A175" s="52" t="n">
        <x:v>125</x:v>
      </x:c>
      <x:c r="B175" s="51" t="str">
        <x:v>安装辅材</x:v>
      </x:c>
      <x:c r="C175" s="51" t="str">
        <x:v>现场临时设施及安全文明措施</x:v>
      </x:c>
      <x:c r="D175" s="51" t="str">
        <x:v>临电、围挡、安全防护及标识</x:v>
      </x:c>
      <x:c r="E175" s="52" t="str">
        <x:v>项</x:v>
      </x:c>
      <x:c r="F175" s="53" t="n">
        <x:v>1</x:v>
      </x:c>
      <x:c r="G175" s="55" t="n">
        <x:v>35000</x:v>
      </x:c>
      <x:c r="H175" s="55" t="n">
        <x:f>F175*G175</x:f>
        <x:v>35000</x:v>
      </x:c>
      <x:c r="I175" s="52" t="str">
        <x:v>国内服务</x:v>
      </x:c>
      <x:c r="J175" s="51" t="str"/>
    </x:row>
    <x:row r="176" ht="44" customHeight="1">
      <x:c r="A176" s="52" t="n">
        <x:v>126</x:v>
      </x:c>
      <x:c r="B176" s="51" t="str">
        <x:v>安装辅材</x:v>
      </x:c>
      <x:c r="C176" s="51" t="str">
        <x:v>调试药剂及易损备件</x:v>
      </x:c>
      <x:c r="D176" s="51" t="str">
        <x:v>中和药剂、喷嘴及密封备件</x:v>
      </x:c>
      <x:c r="E176" s="52" t="str">
        <x:v>项</x:v>
      </x:c>
      <x:c r="F176" s="53" t="n">
        <x:v>1</x:v>
      </x:c>
      <x:c r="G176" s="55" t="n">
        <x:v>25000</x:v>
      </x:c>
      <x:c r="H176" s="55" t="n">
        <x:f>F176*G176</x:f>
        <x:v>25000</x:v>
      </x:c>
      <x:c r="I176" s="52" t="str">
        <x:v>国产（待定）</x:v>
      </x:c>
      <x:c r="J176" s="51" t="str"/>
    </x:row>
    <x:row r="177" ht="44" customHeight="1">
      <x:c r="A177" s="52" t="n">
        <x:v>127</x:v>
      </x:c>
      <x:c r="B177" s="51" t="str">
        <x:v>安装辅材</x:v>
      </x:c>
      <x:c r="C177" s="51" t="str">
        <x:v>现场耗材及劳保用品</x:v>
      </x:c>
      <x:c r="D177" s="51" t="str">
        <x:v>切割片、密封胶、防护用品等</x:v>
      </x:c>
      <x:c r="E177" s="52" t="str">
        <x:v>项</x:v>
      </x:c>
      <x:c r="F177" s="53" t="n">
        <x:v>1</x:v>
      </x:c>
      <x:c r="G177" s="55" t="n">
        <x:v>15000</x:v>
      </x:c>
      <x:c r="H177" s="55" t="n">
        <x:f>F177*G177</x:f>
        <x:v>15000</x:v>
      </x:c>
      <x:c r="I177" s="52" t="str">
        <x:v>国内服务</x:v>
      </x:c>
      <x:c r="J177" s="51" t="str"/>
    </x:row>
    <x:row r="178" ht="24" customHeight="1">
      <x:c r="A178" s="64" t="str">
        <x:v>（十七）安装辅材及配套费用  小计</x:v>
      </x:c>
      <x:c r="B178" s="64" t="str">
        <x:v>（十七）安装辅材及配套费用  小计</x:v>
      </x:c>
      <x:c r="C178" s="64" t="str">
        <x:v>（十七）安装辅材及配套费用  小计</x:v>
      </x:c>
      <x:c r="D178" s="64" t="str">
        <x:v>（十七）安装辅材及配套费用  小计</x:v>
      </x:c>
      <x:c r="E178" s="64" t="str">
        <x:v>（十七）安装辅材及配套费用  小计</x:v>
      </x:c>
      <x:c r="F178" s="65"/>
      <x:c r="G178" s="65"/>
      <x:c r="H178" s="66" t="n">
        <x:f>SUM(H170:H177)</x:f>
        <x:v>233000</x:v>
      </x:c>
      <x:c r="I178" s="65"/>
      <x:c r="J178" s="65"/>
    </x:row>
    <x:row r="179" ht="24" customHeight="1">
      <x:c r="A179" s="46" t="str">
        <x:v>（十八）包装与运输费用</x:v>
      </x:c>
      <x:c r="B179" s="46" t="str">
        <x:v>（十八）包装与运输费用</x:v>
      </x:c>
      <x:c r="C179" s="46" t="str">
        <x:v>（十八）包装与运输费用</x:v>
      </x:c>
      <x:c r="D179" s="46" t="str">
        <x:v>（十八）包装与运输费用</x:v>
      </x:c>
      <x:c r="E179" s="46" t="str">
        <x:v>（十八）包装与运输费用</x:v>
      </x:c>
      <x:c r="F179" s="46" t="str">
        <x:v>（十八）包装与运输费用</x:v>
      </x:c>
      <x:c r="G179" s="46" t="str">
        <x:v>（十八）包装与运输费用</x:v>
      </x:c>
      <x:c r="H179" s="46" t="str">
        <x:v>（十八）包装与运输费用</x:v>
      </x:c>
      <x:c r="I179" s="46" t="str">
        <x:v>（十八）包装与运输费用</x:v>
      </x:c>
      <x:c r="J179" s="46" t="str">
        <x:v>（十八）包装与运输费用</x:v>
      </x:c>
    </x:row>
    <x:row r="180" ht="44" customHeight="1">
      <x:c r="A180" s="52" t="n">
        <x:v>128</x:v>
      </x:c>
      <x:c r="B180" s="51" t="str">
        <x:v>包装运输</x:v>
      </x:c>
      <x:c r="C180" s="51" t="str">
        <x:v>出口木箱及防潮包装</x:v>
      </x:c>
      <x:c r="D180" s="51" t="str">
        <x:v>设备、电控及精密件出口木箱/缠绕防潮包装</x:v>
      </x:c>
      <x:c r="E180" s="52" t="str">
        <x:v>项</x:v>
      </x:c>
      <x:c r="F180" s="53" t="n">
        <x:v>1</x:v>
      </x:c>
      <x:c r="G180" s="55" t="n">
        <x:v>62000</x:v>
      </x:c>
      <x:c r="H180" s="55" t="n">
        <x:f>F180*G180</x:f>
        <x:v>62000</x:v>
      </x:c>
      <x:c r="I180" s="52" t="str">
        <x:v>国内服务</x:v>
      </x:c>
      <x:c r="J180" s="51" t="str"/>
    </x:row>
    <x:row r="181" ht="44" customHeight="1">
      <x:c r="A181" s="52" t="n">
        <x:v>129</x:v>
      </x:c>
      <x:c r="B181" s="51" t="str">
        <x:v>包装运输</x:v>
      </x:c>
      <x:c r="C181" s="51" t="str">
        <x:v>超限件加固与绑扎</x:v>
      </x:c>
      <x:c r="D181" s="51" t="str">
        <x:v>大尺寸塔体、风管及支撑架加固绑扎</x:v>
      </x:c>
      <x:c r="E181" s="52" t="str">
        <x:v>项</x:v>
      </x:c>
      <x:c r="F181" s="53" t="n">
        <x:v>1</x:v>
      </x:c>
      <x:c r="G181" s="55" t="n">
        <x:v>38000</x:v>
      </x:c>
      <x:c r="H181" s="55" t="n">
        <x:f>F181*G181</x:f>
        <x:v>38000</x:v>
      </x:c>
      <x:c r="I181" s="52" t="str">
        <x:v>国内服务</x:v>
      </x:c>
      <x:c r="J181" s="51" t="str"/>
    </x:row>
    <x:row r="182" ht="44" customHeight="1">
      <x:c r="A182" s="52" t="n">
        <x:v>130</x:v>
      </x:c>
      <x:c r="B182" s="51" t="str">
        <x:v>包装运输</x:v>
      </x:c>
      <x:c r="C182" s="51" t="str">
        <x:v>国内短驳及集港运输</x:v>
      </x:c>
      <x:c r="D182" s="51" t="str">
        <x:v>工厂至国内起运港运输</x:v>
      </x:c>
      <x:c r="E182" s="52" t="str">
        <x:v>项</x:v>
      </x:c>
      <x:c r="F182" s="53" t="n">
        <x:v>1</x:v>
      </x:c>
      <x:c r="G182" s="55" t="n">
        <x:v>52000</x:v>
      </x:c>
      <x:c r="H182" s="55" t="n">
        <x:f>F182*G182</x:f>
        <x:v>52000</x:v>
      </x:c>
      <x:c r="I182" s="52" t="str">
        <x:v>国内服务</x:v>
      </x:c>
      <x:c r="J182" s="51" t="str"/>
    </x:row>
    <x:row r="183" ht="44" customHeight="1">
      <x:c r="A183" s="52" t="n">
        <x:v>131</x:v>
      </x:c>
      <x:c r="B183" s="51" t="str">
        <x:v>包装运输</x:v>
      </x:c>
      <x:c r="C183" s="51" t="str">
        <x:v>出口报关、港杂及单证</x:v>
      </x:c>
      <x:c r="D183" s="51" t="str">
        <x:v>报关、订舱、港杂及出口单证</x:v>
      </x:c>
      <x:c r="E183" s="52" t="str">
        <x:v>项</x:v>
      </x:c>
      <x:c r="F183" s="53" t="n">
        <x:v>1</x:v>
      </x:c>
      <x:c r="G183" s="55" t="n">
        <x:v>35000</x:v>
      </x:c>
      <x:c r="H183" s="55" t="n">
        <x:f>F183*G183</x:f>
        <x:v>35000</x:v>
      </x:c>
      <x:c r="I183" s="52" t="str">
        <x:v>国内服务</x:v>
      </x:c>
      <x:c r="J183" s="51" t="str"/>
    </x:row>
    <x:row r="184" ht="44" customHeight="1">
      <x:c r="A184" s="52" t="n">
        <x:v>132</x:v>
      </x:c>
      <x:c r="B184" s="51" t="str">
        <x:v>包装运输</x:v>
      </x:c>
      <x:c r="C184" s="51" t="str">
        <x:v>国际海运及货运保险</x:v>
      </x:c>
      <x:c r="D184" s="51" t="str">
        <x:v>中国口岸至泰国口岸海运及保险</x:v>
      </x:c>
      <x:c r="E184" s="52" t="str">
        <x:v>项</x:v>
      </x:c>
      <x:c r="F184" s="53" t="n">
        <x:v>1</x:v>
      </x:c>
      <x:c r="G184" s="55" t="n">
        <x:v>95000</x:v>
      </x:c>
      <x:c r="H184" s="55" t="n">
        <x:f>F184*G184</x:f>
        <x:v>95000</x:v>
      </x:c>
      <x:c r="I184" s="52" t="str">
        <x:v>国际物流</x:v>
      </x:c>
      <x:c r="J184" s="51" t="str">
        <x:v>按当期运价测算</x:v>
      </x:c>
    </x:row>
    <x:row r="185" ht="44" customHeight="1">
      <x:c r="A185" s="52" t="n">
        <x:v>133</x:v>
      </x:c>
      <x:c r="B185" s="51" t="str">
        <x:v>包装运输</x:v>
      </x:c>
      <x:c r="C185" s="51" t="str">
        <x:v>泰国清关、内陆运输及现场卸车</x:v>
      </x:c>
      <x:c r="D185" s="51" t="str">
        <x:v>目的港清关、公路运输及现场卸车</x:v>
      </x:c>
      <x:c r="E185" s="52" t="str">
        <x:v>项</x:v>
      </x:c>
      <x:c r="F185" s="53" t="n">
        <x:v>1</x:v>
      </x:c>
      <x:c r="G185" s="55" t="n">
        <x:v>60000</x:v>
      </x:c>
      <x:c r="H185" s="55" t="n">
        <x:f>F185*G185</x:f>
        <x:v>60000</x:v>
      </x:c>
      <x:c r="I185" s="52" t="str">
        <x:v>泰国当地服务</x:v>
      </x:c>
      <x:c r="J185" s="51" t="str">
        <x:v>如产生关税或增值税，按实际另行结算</x:v>
      </x:c>
    </x:row>
    <x:row r="186" ht="24" customHeight="1">
      <x:c r="A186" s="64" t="str">
        <x:v>（十八）包装与运输费用  小计</x:v>
      </x:c>
      <x:c r="B186" s="64" t="str">
        <x:v>（十八）包装与运输费用  小计</x:v>
      </x:c>
      <x:c r="C186" s="64" t="str">
        <x:v>（十八）包装与运输费用  小计</x:v>
      </x:c>
      <x:c r="D186" s="64" t="str">
        <x:v>（十八）包装与运输费用  小计</x:v>
      </x:c>
      <x:c r="E186" s="64" t="str">
        <x:v>（十八）包装与运输费用  小计</x:v>
      </x:c>
      <x:c r="F186" s="65"/>
      <x:c r="G186" s="65"/>
      <x:c r="H186" s="66" t="n">
        <x:f>SUM(H180:H185)</x:f>
        <x:v>342000</x:v>
      </x:c>
      <x:c r="I186" s="65"/>
      <x:c r="J186" s="65"/>
    </x:row>
    <x:row r="187" ht="24" customHeight="1">
      <x:c r="A187" s="46" t="str">
        <x:v>（十九）安装调试及技术服务费</x:v>
      </x:c>
      <x:c r="B187" s="46" t="str">
        <x:v>（十九）安装调试及技术服务费</x:v>
      </x:c>
      <x:c r="C187" s="46" t="str">
        <x:v>（十九）安装调试及技术服务费</x:v>
      </x:c>
      <x:c r="D187" s="46" t="str">
        <x:v>（十九）安装调试及技术服务费</x:v>
      </x:c>
      <x:c r="E187" s="46" t="str">
        <x:v>（十九）安装调试及技术服务费</x:v>
      </x:c>
      <x:c r="F187" s="46" t="str">
        <x:v>（十九）安装调试及技术服务费</x:v>
      </x:c>
      <x:c r="G187" s="46" t="str">
        <x:v>（十九）安装调试及技术服务费</x:v>
      </x:c>
      <x:c r="H187" s="46" t="str">
        <x:v>（十九）安装调试及技术服务费</x:v>
      </x:c>
      <x:c r="I187" s="46" t="str">
        <x:v>（十九）安装调试及技术服务费</x:v>
      </x:c>
      <x:c r="J187" s="46" t="str">
        <x:v>（十九）安装调试及技术服务费</x:v>
      </x:c>
    </x:row>
    <x:row r="188" ht="44" customHeight="1">
      <x:c r="A188" s="52" t="n">
        <x:v>134</x:v>
      </x:c>
      <x:c r="B188" s="51" t="str">
        <x:v>安装调试</x:v>
      </x:c>
      <x:c r="C188" s="51" t="str">
        <x:v>工厂预制及试装配</x:v>
      </x:c>
      <x:c r="D188" s="51" t="str">
        <x:v>设备与管道工厂预制、试装及检验</x:v>
      </x:c>
      <x:c r="E188" s="52" t="str">
        <x:v>项</x:v>
      </x:c>
      <x:c r="F188" s="53" t="n">
        <x:v>1</x:v>
      </x:c>
      <x:c r="G188" s="55" t="n">
        <x:v>55000</x:v>
      </x:c>
      <x:c r="H188" s="55" t="n">
        <x:f>F188*G188</x:f>
        <x:v>55000</x:v>
      </x:c>
      <x:c r="I188" s="52" t="str">
        <x:v>国内服务</x:v>
      </x:c>
      <x:c r="J188" s="51" t="str"/>
    </x:row>
    <x:row r="189" ht="44" customHeight="1">
      <x:c r="A189" s="52" t="n">
        <x:v>135</x:v>
      </x:c>
      <x:c r="B189" s="51" t="str">
        <x:v>安装调试</x:v>
      </x:c>
      <x:c r="C189" s="51" t="str">
        <x:v>设备吊装及就位安装</x:v>
      </x:c>
      <x:c r="D189" s="51" t="str">
        <x:v>3座处理塔、2套送风机组及烟囱吊装就位</x:v>
      </x:c>
      <x:c r="E189" s="52" t="str">
        <x:v>项</x:v>
      </x:c>
      <x:c r="F189" s="53" t="n">
        <x:v>1</x:v>
      </x:c>
      <x:c r="G189" s="55" t="n">
        <x:v>120000</x:v>
      </x:c>
      <x:c r="H189" s="55" t="n">
        <x:f>F189*G189</x:f>
        <x:v>120000</x:v>
      </x:c>
      <x:c r="I189" s="52" t="str">
        <x:v>泰国现场</x:v>
      </x:c>
      <x:c r="J189" s="51" t="str"/>
    </x:row>
    <x:row r="190" ht="44" customHeight="1">
      <x:c r="A190" s="52" t="n">
        <x:v>136</x:v>
      </x:c>
      <x:c r="B190" s="51" t="str">
        <x:v>安装调试</x:v>
      </x:c>
      <x:c r="C190" s="51" t="str">
        <x:v>风管制作安装及阀件安装</x:v>
      </x:c>
      <x:c r="D190" s="51" t="str">
        <x:v>干管、弯头、三通、防火阀、风阀及支架安装</x:v>
      </x:c>
      <x:c r="E190" s="52" t="str">
        <x:v>项</x:v>
      </x:c>
      <x:c r="F190" s="53" t="n">
        <x:v>1</x:v>
      </x:c>
      <x:c r="G190" s="55" t="n">
        <x:v>175000</x:v>
      </x:c>
      <x:c r="H190" s="55" t="n">
        <x:f>F190*G190</x:f>
        <x:v>175000</x:v>
      </x:c>
      <x:c r="I190" s="52" t="str">
        <x:v>泰国现场</x:v>
      </x:c>
      <x:c r="J190" s="51" t="str"/>
    </x:row>
    <x:row r="191" ht="44" customHeight="1">
      <x:c r="A191" s="52" t="n">
        <x:v>137</x:v>
      </x:c>
      <x:c r="B191" s="51" t="str">
        <x:v>安装调试</x:v>
      </x:c>
      <x:c r="C191" s="51" t="str">
        <x:v>电气及自控安装接线</x:v>
      </x:c>
      <x:c r="D191" s="51" t="str">
        <x:v>配电箱、变频器、仪表及控制线缆安装接线</x:v>
      </x:c>
      <x:c r="E191" s="52" t="str">
        <x:v>项</x:v>
      </x:c>
      <x:c r="F191" s="53" t="n">
        <x:v>1</x:v>
      </x:c>
      <x:c r="G191" s="55" t="n">
        <x:v>95000</x:v>
      </x:c>
      <x:c r="H191" s="55" t="n">
        <x:f>F191*G191</x:f>
        <x:v>95000</x:v>
      </x:c>
      <x:c r="I191" s="52" t="str">
        <x:v>泰国现场</x:v>
      </x:c>
      <x:c r="J191" s="51" t="str"/>
    </x:row>
    <x:row r="192" ht="44" customHeight="1">
      <x:c r="A192" s="52" t="n">
        <x:v>138</x:v>
      </x:c>
      <x:c r="B192" s="51" t="str">
        <x:v>安装调试</x:v>
      </x:c>
      <x:c r="C192" s="51" t="str">
        <x:v>系统联动调试及性能测试配合</x:v>
      </x:c>
      <x:c r="D192" s="51" t="str">
        <x:v>单机试车、联动调试及达标测试配合</x:v>
      </x:c>
      <x:c r="E192" s="52" t="str">
        <x:v>项</x:v>
      </x:c>
      <x:c r="F192" s="53" t="n">
        <x:v>1</x:v>
      </x:c>
      <x:c r="G192" s="55" t="n">
        <x:v>85000</x:v>
      </x:c>
      <x:c r="H192" s="55" t="n">
        <x:f>F192*G192</x:f>
        <x:v>85000</x:v>
      </x:c>
      <x:c r="I192" s="52" t="str">
        <x:v>泰国现场</x:v>
      </x:c>
      <x:c r="J192" s="51" t="str">
        <x:v>不含第三方检测费</x:v>
      </x:c>
    </x:row>
    <x:row r="193" ht="44" customHeight="1">
      <x:c r="A193" s="52" t="n">
        <x:v>139</x:v>
      </x:c>
      <x:c r="B193" s="51" t="str">
        <x:v>安装调试</x:v>
      </x:c>
      <x:c r="C193" s="51" t="str">
        <x:v>技术培训与竣工资料</x:v>
      </x:c>
      <x:c r="D193" s="51" t="str">
        <x:v>操作培训、竣工图及维护资料</x:v>
      </x:c>
      <x:c r="E193" s="52" t="str">
        <x:v>项</x:v>
      </x:c>
      <x:c r="F193" s="53" t="n">
        <x:v>1</x:v>
      </x:c>
      <x:c r="G193" s="55" t="n">
        <x:v>28000</x:v>
      </x:c>
      <x:c r="H193" s="55" t="n">
        <x:f>F193*G193</x:f>
        <x:v>28000</x:v>
      </x:c>
      <x:c r="I193" s="52" t="str">
        <x:v>国内服务</x:v>
      </x:c>
      <x:c r="J193" s="51" t="str"/>
    </x:row>
    <x:row r="194" ht="44" customHeight="1">
      <x:c r="A194" s="52" t="n">
        <x:v>140</x:v>
      </x:c>
      <x:c r="B194" s="51" t="str">
        <x:v>安装调试</x:v>
      </x:c>
      <x:c r="C194" s="51" t="str">
        <x:v>项目管理及安全文明施工</x:v>
      </x:c>
      <x:c r="D194" s="51" t="str">
        <x:v>现场项目管理、安全交底及文明施工</x:v>
      </x:c>
      <x:c r="E194" s="52" t="str">
        <x:v>项</x:v>
      </x:c>
      <x:c r="F194" s="53" t="n">
        <x:v>1</x:v>
      </x:c>
      <x:c r="G194" s="55" t="n">
        <x:v>55000</x:v>
      </x:c>
      <x:c r="H194" s="55" t="n">
        <x:f>F194*G194</x:f>
        <x:v>55000</x:v>
      </x:c>
      <x:c r="I194" s="52" t="str">
        <x:v>泰国现场</x:v>
      </x:c>
      <x:c r="J194" s="51" t="str"/>
    </x:row>
    <x:row r="195" ht="44" customHeight="1">
      <x:c r="A195" s="52" t="n">
        <x:v>141</x:v>
      </x:c>
      <x:c r="B195" s="51" t="str">
        <x:v>安装调试</x:v>
      </x:c>
      <x:c r="C195" s="51" t="str">
        <x:v>泰国现场技术服务差旅住宿</x:v>
      </x:c>
      <x:c r="D195" s="51" t="str">
        <x:v>技术人员往返及驻场差旅住宿</x:v>
      </x:c>
      <x:c r="E195" s="52" t="str">
        <x:v>项</x:v>
      </x:c>
      <x:c r="F195" s="53" t="n">
        <x:v>1</x:v>
      </x:c>
      <x:c r="G195" s="55" t="n">
        <x:v>50000</x:v>
      </x:c>
      <x:c r="H195" s="55" t="n">
        <x:f>F195*G195</x:f>
        <x:v>50000</x:v>
      </x:c>
      <x:c r="I195" s="52" t="str">
        <x:v>泰国当地服务</x:v>
      </x:c>
      <x:c r="J195" s="51" t="str"/>
    </x:row>
    <x:row r="196" ht="24" customHeight="1">
      <x:c r="A196" s="64" t="str">
        <x:v>（十九）安装调试及技术服务费  小计</x:v>
      </x:c>
      <x:c r="B196" s="64" t="str">
        <x:v>（十九）安装调试及技术服务费  小计</x:v>
      </x:c>
      <x:c r="C196" s="64" t="str">
        <x:v>（十九）安装调试及技术服务费  小计</x:v>
      </x:c>
      <x:c r="D196" s="64" t="str">
        <x:v>（十九）安装调试及技术服务费  小计</x:v>
      </x:c>
      <x:c r="E196" s="64" t="str">
        <x:v>（十九）安装调试及技术服务费  小计</x:v>
      </x:c>
      <x:c r="F196" s="65"/>
      <x:c r="G196" s="65"/>
      <x:c r="H196" s="66" t="n">
        <x:f>SUM(H188:H195)</x:f>
        <x:v>663000</x:v>
      </x:c>
      <x:c r="I196" s="65"/>
      <x:c r="J196" s="65"/>
    </x:row>
    <x:row r="197" ht="24" customHeight="1">
      <x:c r="A197" s="73" t="str">
        <x:v>一至十六项 设备材料小计</x:v>
      </x:c>
      <x:c r="B197" s="73" t="str">
        <x:v>一至十六项 设备材料小计</x:v>
      </x:c>
      <x:c r="C197" s="73" t="str">
        <x:v>一至十六项 设备材料小计</x:v>
      </x:c>
      <x:c r="D197" s="73" t="str">
        <x:v>一至十六项 设备材料小计</x:v>
      </x:c>
      <x:c r="E197" s="73" t="str">
        <x:v>一至十六项 设备材料小计</x:v>
      </x:c>
      <x:c r="F197" s="65"/>
      <x:c r="G197" s="65"/>
      <x:c r="H197" s="74" t="n">
        <x:f>$H$37+$H$57+$H$77+$H$84+$H$91+$H$99+$H$106+$H$113+$H$120+$H$128+$H$136+$H$142+$H$148+$H$154+$H$161+$H$168</x:f>
        <x:v>2365120</x:v>
      </x:c>
      <x:c r="I197" s="65"/>
      <x:c r="J197" s="65"/>
    </x:row>
    <x:row r="198" ht="24" customHeight="1">
      <x:c r="A198" s="73" t="str">
        <x:v>第十七项 辅材及配套费用小计</x:v>
      </x:c>
      <x:c r="B198" s="73" t="str">
        <x:v>第十七项 辅材及配套费用小计</x:v>
      </x:c>
      <x:c r="C198" s="73" t="str">
        <x:v>第十七项 辅材及配套费用小计</x:v>
      </x:c>
      <x:c r="D198" s="73" t="str">
        <x:v>第十七项 辅材及配套费用小计</x:v>
      </x:c>
      <x:c r="E198" s="73" t="str">
        <x:v>第十七项 辅材及配套费用小计</x:v>
      </x:c>
      <x:c r="F198" s="65"/>
      <x:c r="G198" s="65"/>
      <x:c r="H198" s="74" t="n">
        <x:f>$H$178</x:f>
        <x:v>233000</x:v>
      </x:c>
      <x:c r="I198" s="65"/>
      <x:c r="J198" s="65"/>
    </x:row>
    <x:row r="199" ht="24" customHeight="1">
      <x:c r="A199" s="73" t="str">
        <x:v>第十八项 包装与运输费用小计</x:v>
      </x:c>
      <x:c r="B199" s="73" t="str">
        <x:v>第十八项 包装与运输费用小计</x:v>
      </x:c>
      <x:c r="C199" s="73" t="str">
        <x:v>第十八项 包装与运输费用小计</x:v>
      </x:c>
      <x:c r="D199" s="73" t="str">
        <x:v>第十八项 包装与运输费用小计</x:v>
      </x:c>
      <x:c r="E199" s="73" t="str">
        <x:v>第十八项 包装与运输费用小计</x:v>
      </x:c>
      <x:c r="F199" s="65"/>
      <x:c r="G199" s="65"/>
      <x:c r="H199" s="74" t="n">
        <x:f>$H$186</x:f>
        <x:v>342000</x:v>
      </x:c>
      <x:c r="I199" s="65"/>
      <x:c r="J199" s="65"/>
    </x:row>
    <x:row r="200" ht="24" customHeight="1">
      <x:c r="A200" s="80" t="str">
        <x:v>第十九项 安装调试及技术服务费小计</x:v>
      </x:c>
      <x:c r="B200" s="80" t="str">
        <x:v>第十九项 安装调试及技术服务费小计</x:v>
      </x:c>
      <x:c r="C200" s="80" t="str">
        <x:v>第十九项 安装调试及技术服务费小计</x:v>
      </x:c>
      <x:c r="D200" s="80" t="str">
        <x:v>第十九项 安装调试及技术服务费小计</x:v>
      </x:c>
      <x:c r="E200" s="80" t="str">
        <x:v>第十九项 安装调试及技术服务费小计</x:v>
      </x:c>
      <x:c r="F200" s="65"/>
      <x:c r="G200" s="65"/>
      <x:c r="H200" s="81" t="n">
        <x:f>$H$196</x:f>
        <x:v>663000</x:v>
      </x:c>
      <x:c r="I200" s="65"/>
      <x:c r="J200" s="65"/>
    </x:row>
    <x:row r="201" ht="26" customHeight="1">
      <x:c r="A201" s="86" t="str">
        <x:v>未税合计</x:v>
      </x:c>
      <x:c r="B201" s="86" t="str">
        <x:v>未税合计</x:v>
      </x:c>
      <x:c r="C201" s="86" t="str">
        <x:v>未税合计</x:v>
      </x:c>
      <x:c r="D201" s="86" t="str">
        <x:v>未税合计</x:v>
      </x:c>
      <x:c r="E201" s="86" t="str">
        <x:v>未税合计</x:v>
      </x:c>
      <x:c r="F201" s="65"/>
      <x:c r="G201" s="65"/>
      <x:c r="H201" s="87" t="n">
        <x:f>SUM(H197:H200)</x:f>
        <x:v>3603120</x:v>
      </x:c>
      <x:c r="I201" s="65"/>
      <x:c r="J201" s="65"/>
    </x:row>
    <x:row r="202" ht="26" customHeight="1">
      <x:c r="A202" s="86" t="str">
        <x:v>税率</x:v>
      </x:c>
      <x:c r="B202" s="86" t="str">
        <x:v>税率</x:v>
      </x:c>
      <x:c r="C202" s="86" t="str">
        <x:v>税率</x:v>
      </x:c>
      <x:c r="D202" s="86" t="str">
        <x:v>税率</x:v>
      </x:c>
      <x:c r="E202" s="86" t="str">
        <x:v>税率</x:v>
      </x:c>
      <x:c r="F202" s="65"/>
      <x:c r="G202" s="65"/>
      <x:c r="H202" s="90" t="n">
        <x:f>H12</x:f>
        <x:v>0.13</x:v>
      </x:c>
      <x:c r="I202" s="65"/>
      <x:c r="J202" s="65"/>
    </x:row>
    <x:row r="203" ht="26" customHeight="1">
      <x:c r="A203" s="86" t="str">
        <x:v>税额</x:v>
      </x:c>
      <x:c r="B203" s="86" t="str">
        <x:v>税额</x:v>
      </x:c>
      <x:c r="C203" s="86" t="str">
        <x:v>税额</x:v>
      </x:c>
      <x:c r="D203" s="86" t="str">
        <x:v>税额</x:v>
      </x:c>
      <x:c r="E203" s="86" t="str">
        <x:v>税额</x:v>
      </x:c>
      <x:c r="F203" s="65"/>
      <x:c r="G203" s="65"/>
      <x:c r="H203" s="87" t="n">
        <x:f>H201*H202</x:f>
        <x:v>468405.60000000003</x:v>
      </x:c>
      <x:c r="I203" s="65"/>
      <x:c r="J203" s="65"/>
    </x:row>
    <x:row r="204" ht="26" customHeight="1">
      <x:c r="A204" s="86" t="str">
        <x:v>含税总价</x:v>
      </x:c>
      <x:c r="B204" s="86" t="str">
        <x:v>含税总价</x:v>
      </x:c>
      <x:c r="C204" s="86" t="str">
        <x:v>含税总价</x:v>
      </x:c>
      <x:c r="D204" s="86" t="str">
        <x:v>含税总价</x:v>
      </x:c>
      <x:c r="E204" s="86" t="str">
        <x:v>含税总价</x:v>
      </x:c>
      <x:c r="F204" s="65"/>
      <x:c r="G204" s="65"/>
      <x:c r="H204" s="87" t="n">
        <x:f>H201+H203</x:f>
        <x:v>4071525.6</x:v>
      </x:c>
      <x:c r="I204" s="65"/>
      <x:c r="J204" s="65"/>
    </x:row>
    <x:row r="205" ht="22" customHeight="1">
      <x:c r="A205" s="93" t="str">
        <x:v>报价范围说明：</x:v>
      </x:c>
      <x:c r="B205" s="93" t="str">
        <x:v>报价范围说明：</x:v>
      </x:c>
      <x:c r="C205" s="93" t="str">
        <x:v>报价范围说明：</x:v>
      </x:c>
      <x:c r="D205" s="93" t="str">
        <x:v>报价范围说明：</x:v>
      </x:c>
      <x:c r="E205" s="93" t="str">
        <x:v>报价范围说明：</x:v>
      </x:c>
      <x:c r="F205" s="93" t="str">
        <x:v>报价范围说明：</x:v>
      </x:c>
      <x:c r="G205" s="93" t="str">
        <x:v>报价范围说明：</x:v>
      </x:c>
      <x:c r="H205" s="93" t="str">
        <x:v>报价范围说明：</x:v>
      </x:c>
      <x:c r="I205" s="93" t="str">
        <x:v>报价范围说明：</x:v>
      </x:c>
      <x:c r="J205" s="93" t="str">
        <x:v>报价范围说明：</x:v>
      </x:c>
    </x:row>
    <x:row r="206" ht="24" customHeight="1">
      <x:c r="A206" s="98" t="str">
        <x:v>1. 本报价范围以设计方案中“一期设备及材料清单”为准：3F两套酸碱废气处理系统、两套蒸发式送风系统本期投运；含氰系统及1F/2F酸碱、新风干管本期敷设至管井旁并阀后封闭备用。</x:v>
      </x:c>
      <x:c r="B206" s="98" t="str">
        <x:v>1. 本报价范围以设计方案中“一期设备及材料清单”为准：3F两套酸碱废气处理系统、两套蒸发式送风系统本期投运；含氰系统及1F/2F酸碱、新风干管本期敷设至管井旁并阀后封闭备用。</x:v>
      </x:c>
      <x:c r="C206" s="98" t="str">
        <x:v>1. 本报价范围以设计方案中“一期设备及材料清单”为准：3F两套酸碱废气处理系统、两套蒸发式送风系统本期投运；含氰系统及1F/2F酸碱、新风干管本期敷设至管井旁并阀后封闭备用。</x:v>
      </x:c>
      <x:c r="D206" s="98" t="str">
        <x:v>1. 本报价范围以设计方案中“一期设备及材料清单”为准：3F两套酸碱废气处理系统、两套蒸发式送风系统本期投运；含氰系统及1F/2F酸碱、新风干管本期敷设至管井旁并阀后封闭备用。</x:v>
      </x:c>
      <x:c r="E206" s="98" t="str">
        <x:v>1. 本报价范围以设计方案中“一期设备及材料清单”为准：3F两套酸碱废气处理系统、两套蒸发式送风系统本期投运；含氰系统及1F/2F酸碱、新风干管本期敷设至管井旁并阀后封闭备用。</x:v>
      </x:c>
      <x:c r="F206" s="98" t="str">
        <x:v>1. 本报价范围以设计方案中“一期设备及材料清单”为准：3F两套酸碱废气处理系统、两套蒸发式送风系统本期投运；含氰系统及1F/2F酸碱、新风干管本期敷设至管井旁并阀后封闭备用。</x:v>
      </x:c>
      <x:c r="G206" s="98" t="str">
        <x:v>1. 本报价范围以设计方案中“一期设备及材料清单”为准：3F两套酸碱废气处理系统、两套蒸发式送风系统本期投运；含氰系统及1F/2F酸碱、新风干管本期敷设至管井旁并阀后封闭备用。</x:v>
      </x:c>
      <x:c r="H206" s="98" t="str">
        <x:v>1. 本报价范围以设计方案中“一期设备及材料清单”为准：3F两套酸碱废气处理系统、两套蒸发式送风系统本期投运；含氰系统及1F/2F酸碱、新风干管本期敷设至管井旁并阀后封闭备用。</x:v>
      </x:c>
      <x:c r="I206" s="98" t="str">
        <x:v>1. 本报价范围以设计方案中“一期设备及材料清单”为准：3F两套酸碱废气处理系统、两套蒸发式送风系统本期投运；含氰系统及1F/2F酸碱、新风干管本期敷设至管井旁并阀后封闭备用。</x:v>
      </x:c>
      <x:c r="J206" s="98" t="str">
        <x:v>1. 本报价范围以设计方案中“一期设备及材料清单”为准：3F两套酸碱废气处理系统、两套蒸发式送风系统本期投运；含氰系统及1F/2F酸碱、新风干管本期敷设至管井旁并阀后封闭备用。</x:v>
      </x:c>
    </x:row>
    <x:row r="207" ht="24" customHeight="1">
      <x:c r="A207" s="98" t="str">
        <x:v>2. 本报价含设备材料、安装辅材、包装、国内运输、出口报关港杂、国际海运及保险、泰国清关及内陆运输、安装调试、培训与竣工资料。</x:v>
      </x:c>
      <x:c r="B207" s="98" t="str">
        <x:v>2. 本报价含设备材料、安装辅材、包装、国内运输、出口报关港杂、国际海运及保险、泰国清关及内陆运输、安装调试、培训与竣工资料。</x:v>
      </x:c>
      <x:c r="C207" s="98" t="str">
        <x:v>2. 本报价含设备材料、安装辅材、包装、国内运输、出口报关港杂、国际海运及保险、泰国清关及内陆运输、安装调试、培训与竣工资料。</x:v>
      </x:c>
      <x:c r="D207" s="98" t="str">
        <x:v>2. 本报价含设备材料、安装辅材、包装、国内运输、出口报关港杂、国际海运及保险、泰国清关及内陆运输、安装调试、培训与竣工资料。</x:v>
      </x:c>
      <x:c r="E207" s="98" t="str">
        <x:v>2. 本报价含设备材料、安装辅材、包装、国内运输、出口报关港杂、国际海运及保险、泰国清关及内陆运输、安装调试、培训与竣工资料。</x:v>
      </x:c>
      <x:c r="F207" s="98" t="str">
        <x:v>2. 本报价含设备材料、安装辅材、包装、国内运输、出口报关港杂、国际海运及保险、泰国清关及内陆运输、安装调试、培训与竣工资料。</x:v>
      </x:c>
      <x:c r="G207" s="98" t="str">
        <x:v>2. 本报价含设备材料、安装辅材、包装、国内运输、出口报关港杂、国际海运及保险、泰国清关及内陆运输、安装调试、培训与竣工资料。</x:v>
      </x:c>
      <x:c r="H207" s="98" t="str">
        <x:v>2. 本报价含设备材料、安装辅材、包装、国内运输、出口报关港杂、国际海运及保险、泰国清关及内陆运输、安装调试、培训与竣工资料。</x:v>
      </x:c>
      <x:c r="I207" s="98" t="str">
        <x:v>2. 本报价含设备材料、安装辅材、包装、国内运输、出口报关港杂、国际海运及保险、泰国清关及内陆运输、安装调试、培训与竣工资料。</x:v>
      </x:c>
      <x:c r="J207" s="98" t="str">
        <x:v>2. 本报价含设备材料、安装辅材、包装、国内运输、出口报关港杂、国际海运及保险、泰国清关及内陆运输、安装调试、培训与竣工资料。</x:v>
      </x:c>
    </x:row>
    <x:row r="208" ht="24" customHeight="1">
      <x:c r="A208" s="98" t="str">
        <x:v>3. 本报价不含土建基础及防腐、甲方一次侧电源电缆、给排水接驳、生产线支管、第三方检测、泰国当地关税或增值税（如需），以及不可抗力造成的费用。</x:v>
      </x:c>
      <x:c r="B208" s="98" t="str">
        <x:v>3. 本报价不含土建基础及防腐、甲方一次侧电源电缆、给排水接驳、生产线支管、第三方检测、泰国当地关税或增值税（如需），以及不可抗力造成的费用。</x:v>
      </x:c>
      <x:c r="C208" s="98" t="str">
        <x:v>3. 本报价不含土建基础及防腐、甲方一次侧电源电缆、给排水接驳、生产线支管、第三方检测、泰国当地关税或增值税（如需），以及不可抗力造成的费用。</x:v>
      </x:c>
      <x:c r="D208" s="98" t="str">
        <x:v>3. 本报价不含土建基础及防腐、甲方一次侧电源电缆、给排水接驳、生产线支管、第三方检测、泰国当地关税或增值税（如需），以及不可抗力造成的费用。</x:v>
      </x:c>
      <x:c r="E208" s="98" t="str">
        <x:v>3. 本报价不含土建基础及防腐、甲方一次侧电源电缆、给排水接驳、生产线支管、第三方检测、泰国当地关税或增值税（如需），以及不可抗力造成的费用。</x:v>
      </x:c>
      <x:c r="F208" s="98" t="str">
        <x:v>3. 本报价不含土建基础及防腐、甲方一次侧电源电缆、给排水接驳、生产线支管、第三方检测、泰国当地关税或增值税（如需），以及不可抗力造成的费用。</x:v>
      </x:c>
      <x:c r="G208" s="98" t="str">
        <x:v>3. 本报价不含土建基础及防腐、甲方一次侧电源电缆、给排水接驳、生产线支管、第三方检测、泰国当地关税或增值税（如需），以及不可抗力造成的费用。</x:v>
      </x:c>
      <x:c r="H208" s="98" t="str">
        <x:v>3. 本报价不含土建基础及防腐、甲方一次侧电源电缆、给排水接驳、生产线支管、第三方检测、泰国当地关税或增值税（如需），以及不可抗力造成的费用。</x:v>
      </x:c>
      <x:c r="I208" s="98" t="str">
        <x:v>3. 本报价不含土建基础及防腐、甲方一次侧电源电缆、给排水接驳、生产线支管、第三方检测、泰国当地关税或增值税（如需），以及不可抗力造成的费用。</x:v>
      </x:c>
      <x:c r="J208" s="98" t="str">
        <x:v>3. 本报价不含土建基础及防腐、甲方一次侧电源电缆、给排水接驳、生产线支管、第三方检测、泰国当地关税或增值税（如需），以及不可抗力造成的费用。</x:v>
      </x:c>
    </x:row>
    <x:row r="209" ht="24" customHeight="1">
      <x:c r="A209" s="98" t="str">
        <x:v>4. 报价单内金额均由公式自动计算，数量或单价修改后，小计、未税合计、税额和含税总价自动更新；金额统一保留两位小数。</x:v>
      </x:c>
      <x:c r="B209" s="98" t="str">
        <x:v>4. 报价单内金额均由公式自动计算，数量或单价修改后，小计、未税合计、税额和含税总价自动更新；金额统一保留两位小数。</x:v>
      </x:c>
      <x:c r="C209" s="98" t="str">
        <x:v>4. 报价单内金额均由公式自动计算，数量或单价修改后，小计、未税合计、税额和含税总价自动更新；金额统一保留两位小数。</x:v>
      </x:c>
      <x:c r="D209" s="98" t="str">
        <x:v>4. 报价单内金额均由公式自动计算，数量或单价修改后，小计、未税合计、税额和含税总价自动更新；金额统一保留两位小数。</x:v>
      </x:c>
      <x:c r="E209" s="98" t="str">
        <x:v>4. 报价单内金额均由公式自动计算，数量或单价修改后，小计、未税合计、税额和含税总价自动更新；金额统一保留两位小数。</x:v>
      </x:c>
      <x:c r="F209" s="98" t="str">
        <x:v>4. 报价单内金额均由公式自动计算，数量或单价修改后，小计、未税合计、税额和含税总价自动更新；金额统一保留两位小数。</x:v>
      </x:c>
      <x:c r="G209" s="98" t="str">
        <x:v>4. 报价单内金额均由公式自动计算，数量或单价修改后，小计、未税合计、税额和含税总价自动更新；金额统一保留两位小数。</x:v>
      </x:c>
      <x:c r="H209" s="98" t="str">
        <x:v>4. 报价单内金额均由公式自动计算，数量或单价修改后，小计、未税合计、税额和含税总价自动更新；金额统一保留两位小数。</x:v>
      </x:c>
      <x:c r="I209" s="98" t="str">
        <x:v>4. 报价单内金额均由公式自动计算，数量或单价修改后，小计、未税合计、税额和含税总价自动更新；金额统一保留两位小数。</x:v>
      </x:c>
      <x:c r="J209" s="98" t="str">
        <x:v>4. 报价单内金额均由公式自动计算，数量或单价修改后，小计、未税合计、税额和含税总价自动更新；金额统一保留两位小数。</x:v>
      </x:c>
    </x:row>
    <x:row r="210" ht="24" customHeight="1">
      <x:c r="A210" s="98" t="str">
        <x:v>5. 品牌栏暂以“待定”为主，正式对外使用前应由实际出具报价的公司复核品牌、产地、公司信息并签章授权。</x:v>
      </x:c>
      <x:c r="B210" s="98" t="str">
        <x:v>5. 品牌栏暂以“待定”为主，正式对外使用前应由实际出具报价的公司复核品牌、产地、公司信息并签章授权。</x:v>
      </x:c>
      <x:c r="C210" s="98" t="str">
        <x:v>5. 品牌栏暂以“待定”为主，正式对外使用前应由实际出具报价的公司复核品牌、产地、公司信息并签章授权。</x:v>
      </x:c>
      <x:c r="D210" s="98" t="str">
        <x:v>5. 品牌栏暂以“待定”为主，正式对外使用前应由实际出具报价的公司复核品牌、产地、公司信息并签章授权。</x:v>
      </x:c>
      <x:c r="E210" s="98" t="str">
        <x:v>5. 品牌栏暂以“待定”为主，正式对外使用前应由实际出具报价的公司复核品牌、产地、公司信息并签章授权。</x:v>
      </x:c>
      <x:c r="F210" s="98" t="str">
        <x:v>5. 品牌栏暂以“待定”为主，正式对外使用前应由实际出具报价的公司复核品牌、产地、公司信息并签章授权。</x:v>
      </x:c>
      <x:c r="G210" s="98" t="str">
        <x:v>5. 品牌栏暂以“待定”为主，正式对外使用前应由实际出具报价的公司复核品牌、产地、公司信息并签章授权。</x:v>
      </x:c>
      <x:c r="H210" s="98" t="str">
        <x:v>5. 品牌栏暂以“待定”为主，正式对外使用前应由实际出具报价的公司复核品牌、产地、公司信息并签章授权。</x:v>
      </x:c>
      <x:c r="I210" s="98" t="str">
        <x:v>5. 品牌栏暂以“待定”为主，正式对外使用前应由实际出具报价的公司复核品牌、产地、公司信息并签章授权。</x:v>
      </x:c>
      <x:c r="J210" s="98" t="str">
        <x:v>5. 品牌栏暂以“待定”为主，正式对外使用前应由实际出具报价的公司复核品牌、产地、公司信息并签章授权。</x:v>
      </x:c>
    </x:row>
    <x:row r="212">
      <x:c r="A212" s="116" t="str">
        <x:v>客户确认（盖章）：</x:v>
      </x:c>
      <x:c r="B212" s="117" t="str">
        <x:v>客户确认（盖章）：</x:v>
      </x:c>
      <x:c r="C212" s="117" t="str">
        <x:v>客户确认（盖章）：</x:v>
      </x:c>
      <x:c r="D212" s="117" t="str">
        <x:v>客户确认（盖章）：</x:v>
      </x:c>
      <x:c r="E212" s="117" t="str">
        <x:v>客户确认（盖章）：</x:v>
      </x:c>
      <x:c r="F212" s="117" t="str">
        <x:v>报价单位确认（盖章）：</x:v>
      </x:c>
      <x:c r="G212" s="117" t="str">
        <x:v>报价单位确认（盖章）：</x:v>
      </x:c>
      <x:c r="H212" s="117" t="str">
        <x:v>报价单位确认（盖章）：</x:v>
      </x:c>
      <x:c r="I212" s="117" t="str">
        <x:v>报价单位确认（盖章）：</x:v>
      </x:c>
      <x:c r="J212" s="122" t="str">
        <x:v>报价单位确认（盖章）：</x:v>
      </x:c>
    </x:row>
    <x:row r="213">
      <x:c r="A213" s="129" t="str"/>
      <x:c r="B213" s="130" t="str"/>
      <x:c r="C213" s="130" t="str"/>
      <x:c r="D213" s="130" t="str"/>
      <x:c r="E213" s="130" t="str"/>
      <x:c r="F213" s="130" t="str"/>
      <x:c r="G213" s="130" t="str"/>
      <x:c r="H213" s="130" t="str"/>
      <x:c r="I213" s="130" t="str"/>
      <x:c r="J213" s="135" t="str"/>
    </x:row>
    <x:row r="214">
      <x:c r="A214" s="144" t="str">
        <x:v>日期：            审核：</x:v>
      </x:c>
      <x:c r="B214" s="145" t="str">
        <x:v>日期：            审核：</x:v>
      </x:c>
      <x:c r="C214" s="145" t="str">
        <x:v>日期：            审核：</x:v>
      </x:c>
      <x:c r="D214" s="145" t="str">
        <x:v>日期：            审核：</x:v>
      </x:c>
      <x:c r="E214" s="145" t="str">
        <x:v>日期：            审核：</x:v>
      </x:c>
      <x:c r="F214" s="145" t="str">
        <x:v>日期：            审核：</x:v>
      </x:c>
      <x:c r="G214" s="145" t="str">
        <x:v>日期：            审核：</x:v>
      </x:c>
      <x:c r="H214" s="145" t="str">
        <x:v>日期：            审核：</x:v>
      </x:c>
      <x:c r="I214" s="145" t="str">
        <x:v>日期：            审核：</x:v>
      </x:c>
      <x:c r="J214" s="150" t="str">
        <x:v>日期：            审核：</x:v>
      </x:c>
    </x:row>
  </x:sheetData>
  <x:mergeCells>
    <x:mergeCell ref="A1:J1"/>
    <x:mergeCell ref="A2:J2"/>
    <x:mergeCell ref="A3:J3"/>
    <x:mergeCell ref="A4:J4"/>
    <x:mergeCell ref="A6:J6"/>
    <x:mergeCell ref="A7:E7"/>
    <x:mergeCell ref="A8:E8"/>
    <x:mergeCell ref="A9:E9"/>
    <x:mergeCell ref="A10:E10"/>
    <x:mergeCell ref="A11:E11"/>
    <x:mergeCell ref="A12:E12"/>
    <x:mergeCell ref="A13:E13"/>
    <x:mergeCell ref="A14:E14"/>
    <x:mergeCell ref="A15:J15"/>
    <x:mergeCell ref="A16:J16"/>
    <x:mergeCell ref="A18:J18"/>
    <x:mergeCell ref="A37:E37"/>
    <x:mergeCell ref="A38:J38"/>
    <x:mergeCell ref="A57:E57"/>
    <x:mergeCell ref="A58:J58"/>
    <x:mergeCell ref="A77:E77"/>
    <x:mergeCell ref="A78:J78"/>
    <x:mergeCell ref="A84:E84"/>
    <x:mergeCell ref="A85:J85"/>
    <x:mergeCell ref="A91:E91"/>
    <x:mergeCell ref="A92:J92"/>
    <x:mergeCell ref="A99:E99"/>
    <x:mergeCell ref="A100:J100"/>
    <x:mergeCell ref="A106:E106"/>
    <x:mergeCell ref="A107:J107"/>
    <x:mergeCell ref="A113:E113"/>
    <x:mergeCell ref="A114:J114"/>
    <x:mergeCell ref="A120:E120"/>
    <x:mergeCell ref="A121:J121"/>
    <x:mergeCell ref="A128:E128"/>
    <x:mergeCell ref="A129:J129"/>
    <x:mergeCell ref="A136:E136"/>
    <x:mergeCell ref="A137:J137"/>
    <x:mergeCell ref="A142:E142"/>
    <x:mergeCell ref="A143:J143"/>
    <x:mergeCell ref="A148:E148"/>
    <x:mergeCell ref="A149:J149"/>
    <x:mergeCell ref="A154:E154"/>
    <x:mergeCell ref="A155:J155"/>
    <x:mergeCell ref="A161:E161"/>
    <x:mergeCell ref="A162:J162"/>
    <x:mergeCell ref="A168:E168"/>
    <x:mergeCell ref="A169:J169"/>
    <x:mergeCell ref="A178:E178"/>
    <x:mergeCell ref="A179:J179"/>
    <x:mergeCell ref="A186:E186"/>
    <x:mergeCell ref="A187:J187"/>
    <x:mergeCell ref="A196:E196"/>
    <x:mergeCell ref="A197:E197"/>
    <x:mergeCell ref="A198:E198"/>
    <x:mergeCell ref="A199:E199"/>
    <x:mergeCell ref="A200:E200"/>
    <x:mergeCell ref="A201:E201"/>
    <x:mergeCell ref="A202:E202"/>
    <x:mergeCell ref="A203:E203"/>
    <x:mergeCell ref="A204:E204"/>
    <x:mergeCell ref="A205:J205"/>
    <x:mergeCell ref="A206:J206"/>
    <x:mergeCell ref="A207:J207"/>
    <x:mergeCell ref="A208:J208"/>
    <x:mergeCell ref="A209:J209"/>
    <x:mergeCell ref="A210:J210"/>
    <x:mergeCell ref="A212:E212"/>
    <x:mergeCell ref="F212:J212"/>
    <x:mergeCell ref="A213:E213"/>
    <x:mergeCell ref="F213:J213"/>
    <x:mergeCell ref="A214:E214"/>
    <x:mergeCell ref="F214:J214"/>
  </x:mergeCells>
  <x:pageMargins left="0.3" right="0.3" top="0.5" bottom="0.5" header="0.3" footer="0.3"/>
  <x:pageSetup paperSize="9" orientation="landscape" fitToWidth="1" fitToHeight="0" horizontalDpi="300" verticalDpi="300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20" hidden="0" customWidth="1"/>
    <x:col min="3" max="3" width="95" hidden="0" customWidth="1"/>
  </x:cols>
  <x:sheetData>
    <x:row r="1" ht="46" customHeight="1">
      <x:c r="A1" s="154" t="str">
        <x:v>汇钻科技(泰国)股份有限公司（一期）车间废气处理及送新风工程
报价说明及商务条款</x:v>
      </x:c>
      <x:c r="B1" s="154" t="str">
        <x:v>汇钻科技(泰国)股份有限公司（一期）车间废气处理及送新风工程
报价说明及商务条款</x:v>
      </x:c>
      <x:c r="C1" s="154" t="str">
        <x:v>汇钻科技(泰国)股份有限公司（一期）车间废气处理及送新风工程
报价说明及商务条款</x:v>
      </x:c>
    </x:row>
    <x:row r="2" ht="24" customHeight="1">
      <x:c r="A2" s="158" t="str">
        <x:v>报价单编号：QY-2026-001</x:v>
      </x:c>
      <x:c r="B2" s="158" t="str">
        <x:v>报价日期：2026年08月06日</x:v>
      </x:c>
      <x:c r="C2" s="158" t="str">
        <x:v>币种：人民币（CNY）</x:v>
      </x:c>
    </x:row>
    <x:row r="3" ht="24" customHeight="1">
      <x:c r="A3" s="160" t="str">
        <x:v>序号</x:v>
      </x:c>
      <x:c r="B3" s="160" t="str">
        <x:v>条款</x:v>
      </x:c>
      <x:c r="C3" s="160" t="str">
        <x:v>内容</x:v>
      </x:c>
    </x:row>
    <x:row r="4" ht="52" customHeight="1">
      <x:c r="A4" s="162" t="str">
        <x:v>1</x:v>
      </x:c>
      <x:c r="B4" s="163" t="str">
        <x:v>报价有效期</x:v>
      </x:c>
      <x:c r="C4" s="51" t="str">
        <x:v>自报价之日起60天内有效。逾期报价可能因原材料价格、汇率及海运运价波动而调整，调整前以双方重新书面确认为准。</x:v>
      </x:c>
    </x:row>
    <x:row r="5" ht="62" customHeight="1">
      <x:c r="A5" s="162" t="str">
        <x:v>2</x:v>
      </x:c>
      <x:c r="B5" s="163" t="str">
        <x:v>交货周期</x:v>
      </x:c>
      <x:c r="C5" s="51" t="str">
        <x:v>合同生效并收到预付款后，设备及材料生产备货约45天；跨境运输、目的港清关及现场安装调试验收约75天，整体控制在120天以内，具体以合同及技术协议约定为准。</x:v>
      </x:c>
    </x:row>
    <x:row r="6" ht="52" customHeight="1">
      <x:c r="A6" s="162" t="str">
        <x:v>3</x:v>
      </x:c>
      <x:c r="B6" s="163" t="str">
        <x:v>付款方式</x:v>
      </x:c>
      <x:c r="C6" s="51" t="str">
        <x:v>合同签订后支付30%预付款；设备发货前支付40%；安装调试验收合格后支付25%；余款5%作为质保金，质保期满后支付。付款比例可按双方协商调整。</x:v>
      </x:c>
    </x:row>
    <x:row r="7" ht="62" customHeight="1">
      <x:c r="A7" s="162" t="str">
        <x:v>4</x:v>
      </x:c>
      <x:c r="B7" s="163" t="str">
        <x:v>运输方式</x:v>
      </x:c>
      <x:c r="C7" s="51" t="str">
        <x:v>国内公路运输至起运港，集装箱或散货海运至泰国口岸，目的港清关后公路运输至厂区。大型塔体、烟囱及超限风管采用分段或加固运输，超限件提前报备并办理相关手续。</x:v>
      </x:c>
    </x:row>
    <x:row r="8" ht="52" customHeight="1">
      <x:c r="A8" s="162" t="str">
        <x:v>5</x:v>
      </x:c>
      <x:c r="B8" s="163" t="str">
        <x:v>安装调试范围</x:v>
      </x:c>
      <x:c r="C8" s="51" t="str">
        <x:v>包含设备就位、管道及阀件安装、电气自控接线、单机试车、系统联动调试、达标测试配合及人员培训；不含土建基础施工、生产线支管接驳、第三方检测及消防/环保验收审批。</x:v>
      </x:c>
    </x:row>
    <x:row r="9" ht="62" customHeight="1">
      <x:c r="A9" s="162" t="str">
        <x:v>6</x:v>
      </x:c>
      <x:c r="B9" s="163" t="str">
        <x:v>质保期限</x:v>
      </x:c>
      <x:c r="C9" s="51" t="str">
        <x:v>自系统安装调试验收合格之日起12个月。风机、水泵等随机部件按原厂质保标准执行；人为损坏、误操作及易损件除外。</x:v>
      </x:c>
    </x:row>
    <x:row r="10" ht="52" customHeight="1">
      <x:c r="A10" s="162" t="str">
        <x:v>7</x:v>
      </x:c>
      <x:c r="B10" s="163" t="str">
        <x:v>税率及发票类型</x:v>
      </x:c>
      <x:c r="C10" s="51" t="str">
        <x:v>本报价按人民币未税价编制，税率13%，可开具增值税专用发票。如适用出口退税、免税政策或泰国当地税务要求，按合同约定及两国税务规定执行。</x:v>
      </x:c>
    </x:row>
    <x:row r="11" ht="62" customHeight="1">
      <x:c r="A11" s="162" t="str">
        <x:v>8</x:v>
      </x:c>
      <x:c r="B11" s="163" t="str">
        <x:v>报价包含内容</x:v>
      </x:c>
      <x:c r="C11" s="51" t="str">
        <x:v>设备及材料、安装辅材、包装、国内运输、出口报关港杂、国际海运及货运保险、泰国清关及内陆运输、现场卸车、安装调试、技术培训与竣工资料。</x:v>
      </x:c>
    </x:row>
    <x:row r="12" ht="52" customHeight="1">
      <x:c r="A12" s="162" t="str">
        <x:v>9</x:v>
      </x:c>
      <x:c r="B12" s="163" t="str">
        <x:v>报价不包含内容</x:v>
      </x:c>
      <x:c r="C12" s="51" t="str">
        <x:v>土建基础及防腐、甲方一次侧电源电缆与给排水接驳、生产线支管及接口、第三方检测费用、泰国当地关税/增值税（如需）、许可证件及不可抗力或甲方原因造成的费用。</x:v>
      </x:c>
    </x:row>
    <x:row r="13" ht="62" customHeight="1">
      <x:c r="A13" s="162" t="str">
        <x:v>10</x:v>
      </x:c>
      <x:c r="B13" s="163" t="str">
        <x:v>汇率及海外风险说明</x:v>
      </x:c>
      <x:c r="C13" s="51" t="str">
        <x:v>本报价以人民币计价；如按泰铢或美元结算，汇率按付款日银行中间价折算。海运受班期、油价、港口拥堵及目的港清关政策影响；泰国雨季施工、当地节假日及现场条件可能影响工期。相关风险及费用调整机制由双方在合同中明确。</x:v>
      </x:c>
    </x:row>
    <x:row r="14" ht="52" customHeight="1">
      <x:c r="A14" s="162" t="str">
        <x:v>11</x:v>
      </x:c>
      <x:c r="B14" s="163" t="str">
        <x:v>其他说明</x:v>
      </x:c>
      <x:c r="C14" s="51" t="str">
        <x:v>本报价单由独立环保设备及户外工程单位编制，公司名称、地址、联系人、电话暂为“待填写”。正式使用前，报价内容应由实际出具报价的公司独立复核并授权，不得冒用其他企业信息；本报价单与设计方案中的服务范围、实施界面划分共同构成本次报价范围。</x:v>
      </x:c>
    </x:row>
    <x:row r="16" ht="28" customHeight="1">
      <x:c r="A16" s="167" t="str">
        <x:v>说明：本报价单中所有金额均为人民币未税价，税额及含税总价以报价单首页自动计算为准。</x:v>
      </x:c>
      <x:c r="B16" s="167" t="str">
        <x:v>说明：本报价单中所有金额均为人民币未税价，税额及含税总价以报价单首页自动计算为准。</x:v>
      </x:c>
      <x:c r="C16" s="167" t="str">
        <x:v>说明：本报价单中所有金额均为人民币未税价，税额及含税总价以报价单首页自动计算为准。</x:v>
      </x:c>
    </x:row>
  </x:sheetData>
  <x:mergeCells>
    <x:mergeCell ref="A1:C1"/>
    <x:mergeCell ref="A16:C16"/>
  </x:mergeCells>
  <x:pageMargins left="0.3" right="0.3" top="0.5" bottom="0.5" header="0.3" footer="0.3"/>
  <x:pageSetup paperSize="9" orientation="landscape" fitToWidth="1" fitToHeight="0" horizontalDpi="300" verticalDpi="300"/>
</x:worksheet>
</file>